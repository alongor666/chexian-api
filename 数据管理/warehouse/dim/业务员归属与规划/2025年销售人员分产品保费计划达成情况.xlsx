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25年分产品达成情况" sheetId="2" r:id="rId1"/>
  </sheets>
  <definedNames>
    <definedName name="_xlnm._FilterDatabase" localSheetId="0" hidden="1">'25年分产品达成情况'!$A$2:$Q$293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<sst xmlns="http://schemas.openxmlformats.org/spreadsheetml/2006/main" count="806" uniqueCount="362">
  <si>
    <t>机构</t>
  </si>
  <si>
    <t>销售团队</t>
  </si>
  <si>
    <t>业务员</t>
  </si>
  <si>
    <t>入司时间</t>
  </si>
  <si>
    <t>本年在岗时间</t>
  </si>
  <si>
    <t>25年保费计划</t>
  </si>
  <si>
    <t>25年实际保费收入</t>
  </si>
  <si>
    <t>保费达成率</t>
  </si>
  <si>
    <t>车</t>
  </si>
  <si>
    <t>财</t>
  </si>
  <si>
    <t>人</t>
  </si>
  <si>
    <t>合计</t>
  </si>
  <si>
    <t>宜宾</t>
  </si>
  <si>
    <t>宜宾业务二部</t>
  </si>
  <si>
    <t>200048468肖照耀</t>
  </si>
  <si>
    <t>200048765周雪梅</t>
  </si>
  <si>
    <t>200051532周强</t>
  </si>
  <si>
    <t>200052299徐金杭</t>
  </si>
  <si>
    <t>200052837肖海霞</t>
  </si>
  <si>
    <t>210011849严潇然</t>
  </si>
  <si>
    <t>210011987刘吉曦</t>
  </si>
  <si>
    <t>210011988李娜</t>
  </si>
  <si>
    <t>210011990李厚辉</t>
  </si>
  <si>
    <t>宜宾业务二部 汇总</t>
  </si>
  <si>
    <t>宜宾业务一部</t>
  </si>
  <si>
    <t>210011930骆跃强</t>
  </si>
  <si>
    <t>210011967孙小丽</t>
  </si>
  <si>
    <t>210011991谢泽川</t>
  </si>
  <si>
    <t>210011993黄春杨</t>
  </si>
  <si>
    <t>宜宾业务一部 汇总</t>
  </si>
  <si>
    <t>110069485韦丹</t>
  </si>
  <si>
    <t>210000376王文静</t>
  </si>
  <si>
    <t>210011834刘琨</t>
  </si>
  <si>
    <t>210011850吴琴</t>
  </si>
  <si>
    <t>210011891尹茂宇</t>
  </si>
  <si>
    <t>210011931何婉玲</t>
  </si>
  <si>
    <t>210011965胡芳</t>
  </si>
  <si>
    <t>宜宾 汇总</t>
  </si>
  <si>
    <t>德阳</t>
  </si>
  <si>
    <t>德阳业务三部</t>
  </si>
  <si>
    <t>110171931支丹</t>
  </si>
  <si>
    <t>113030118刘欣</t>
  </si>
  <si>
    <t>200052557肖波</t>
  </si>
  <si>
    <t>210011879钟廷</t>
  </si>
  <si>
    <t>210011976周洁</t>
  </si>
  <si>
    <t>210011994蒋家艳</t>
  </si>
  <si>
    <t>德阳业务三部 汇总</t>
  </si>
  <si>
    <t>德阳业务一部</t>
  </si>
  <si>
    <t>110065537尹显玖</t>
  </si>
  <si>
    <t>200048910王鹤</t>
  </si>
  <si>
    <t>200052611殷开航</t>
  </si>
  <si>
    <t>210011847黄正波</t>
  </si>
  <si>
    <t>德阳业务一部 汇总</t>
  </si>
  <si>
    <t>绵竹业务团队</t>
  </si>
  <si>
    <t>200053032廖永莎</t>
  </si>
  <si>
    <t>210000359杨琼</t>
  </si>
  <si>
    <t>210011948丁果</t>
  </si>
  <si>
    <t>绵竹业务团队 汇总</t>
  </si>
  <si>
    <t>110040507杨剑</t>
  </si>
  <si>
    <t>德阳 汇总</t>
  </si>
  <si>
    <t>自贡</t>
  </si>
  <si>
    <t>自贡业务四部</t>
  </si>
  <si>
    <t>210012040钟旭</t>
  </si>
  <si>
    <t>210012041徐艳</t>
  </si>
  <si>
    <t>210012043杨静</t>
  </si>
  <si>
    <t>自贡业务四部 汇总</t>
  </si>
  <si>
    <t>自贡业务一部</t>
  </si>
  <si>
    <t>110052297刘刚</t>
  </si>
  <si>
    <t>110053952刘芮嘉</t>
  </si>
  <si>
    <t>110055662陈秀英</t>
  </si>
  <si>
    <t>200045439罗晓利</t>
  </si>
  <si>
    <t>210000440卢阳</t>
  </si>
  <si>
    <t>自贡业务一部 汇总</t>
  </si>
  <si>
    <t>210000436涂霞</t>
  </si>
  <si>
    <t>210011927曾丽</t>
  </si>
  <si>
    <t>自贡 汇总</t>
  </si>
  <si>
    <t>泸州</t>
  </si>
  <si>
    <t>泸州业务二部</t>
  </si>
  <si>
    <t>110028772游峰</t>
  </si>
  <si>
    <t>200045593钟兴华</t>
  </si>
  <si>
    <t>200052349郑双</t>
  </si>
  <si>
    <t>210000428李刘兵</t>
  </si>
  <si>
    <t>泸州业务二部 汇总</t>
  </si>
  <si>
    <t>泸州业务三部</t>
  </si>
  <si>
    <t>200049522王伟</t>
  </si>
  <si>
    <t>200050109熊建律</t>
  </si>
  <si>
    <t>泸州业务三部 汇总</t>
  </si>
  <si>
    <t>泸州业务一部</t>
  </si>
  <si>
    <t>110056314张勇</t>
  </si>
  <si>
    <t>210000357曾启银</t>
  </si>
  <si>
    <t>210011914李智</t>
  </si>
  <si>
    <t>210011974叶文友</t>
  </si>
  <si>
    <t>泸州业务一部 汇总</t>
  </si>
  <si>
    <t>泸州 汇总</t>
  </si>
  <si>
    <t>乐山</t>
  </si>
  <si>
    <t>210011890陶丽</t>
  </si>
  <si>
    <t>乐山业务一部</t>
  </si>
  <si>
    <t>110069270孙永胜</t>
  </si>
  <si>
    <t>110070904宋春建</t>
  </si>
  <si>
    <t>110072851曾志超</t>
  </si>
  <si>
    <t>200045611张俊容</t>
  </si>
  <si>
    <t>乐山业务一部 汇总</t>
  </si>
  <si>
    <t>200046585刘洋新</t>
  </si>
  <si>
    <t>200053075王思东</t>
  </si>
  <si>
    <t>200053364李颜</t>
  </si>
  <si>
    <t>乐山 汇总</t>
  </si>
  <si>
    <t>资阳</t>
  </si>
  <si>
    <t>资阳业务四部</t>
  </si>
  <si>
    <t>210011883熊红梅</t>
  </si>
  <si>
    <t>210011884李萍玉</t>
  </si>
  <si>
    <t>210012027任俊</t>
  </si>
  <si>
    <t>资阳业务四部 汇总</t>
  </si>
  <si>
    <t>110183334韩思伟</t>
  </si>
  <si>
    <t>200046605王承发</t>
  </si>
  <si>
    <t>200048654向锋</t>
  </si>
  <si>
    <t>200048825胡晓玉琦</t>
  </si>
  <si>
    <t>210011955黎彬</t>
  </si>
  <si>
    <t>210012042唐婷</t>
  </si>
  <si>
    <t>资阳 汇总</t>
  </si>
  <si>
    <t>达州</t>
  </si>
  <si>
    <t>达州业务三部</t>
  </si>
  <si>
    <t>210011928孙大玉</t>
  </si>
  <si>
    <t>210011936赵莎莎</t>
  </si>
  <si>
    <t>达州业务三部 汇总</t>
  </si>
  <si>
    <t>达州业务四部</t>
  </si>
  <si>
    <t>210011959姚晓军</t>
  </si>
  <si>
    <t>达州业务四部 汇总</t>
  </si>
  <si>
    <t>达州业务一部</t>
  </si>
  <si>
    <t>110163942朱展利</t>
  </si>
  <si>
    <t>200050791王星入</t>
  </si>
  <si>
    <t>210011829安辉</t>
  </si>
  <si>
    <t>达州业务一部 汇总</t>
  </si>
  <si>
    <t>200049147向轩颉</t>
  </si>
  <si>
    <t>达州 汇总</t>
  </si>
  <si>
    <t>天府</t>
  </si>
  <si>
    <t>成华业务团队</t>
  </si>
  <si>
    <t>110037882魏晓军</t>
  </si>
  <si>
    <t>200045265杨希</t>
  </si>
  <si>
    <t>200045620曲欣</t>
  </si>
  <si>
    <t>210000346尹浩懿</t>
  </si>
  <si>
    <t>210011882曾冬梅</t>
  </si>
  <si>
    <t>210011917于绍强</t>
  </si>
  <si>
    <t>210011940冯成枭</t>
  </si>
  <si>
    <t>成华业务团队 汇总</t>
  </si>
  <si>
    <t>崇州业务团队</t>
  </si>
  <si>
    <t>110051866罗平</t>
  </si>
  <si>
    <t>110062135高馨</t>
  </si>
  <si>
    <t>110063843周建</t>
  </si>
  <si>
    <t>110070237孙红</t>
  </si>
  <si>
    <t>崇州业务团队 汇总</t>
  </si>
  <si>
    <t>大邑业务团队</t>
  </si>
  <si>
    <t>110063396陈昱舟</t>
  </si>
  <si>
    <t>200047069杨敏</t>
  </si>
  <si>
    <t>210011833周勇</t>
  </si>
  <si>
    <t>大邑业务团队 汇总</t>
  </si>
  <si>
    <t>都江堰业务团队</t>
  </si>
  <si>
    <t>110056772周仕钦</t>
  </si>
  <si>
    <t>110063065汪思岑</t>
  </si>
  <si>
    <t>110071309韦发阳</t>
  </si>
  <si>
    <t>110192437李浪</t>
  </si>
  <si>
    <t>200047931杨柳</t>
  </si>
  <si>
    <t>都江堰业务团队 汇总</t>
  </si>
  <si>
    <t>简阳业务团队</t>
  </si>
  <si>
    <t>110024535彭伟</t>
  </si>
  <si>
    <t>110079053蒋静</t>
  </si>
  <si>
    <t>110144532李育丽</t>
  </si>
  <si>
    <t>110232532黄文韬</t>
  </si>
  <si>
    <t>简阳业务团队 汇总</t>
  </si>
  <si>
    <t>金堂业务团队</t>
  </si>
  <si>
    <t>110060310高明</t>
  </si>
  <si>
    <t>110072203叶道兰</t>
  </si>
  <si>
    <t>200049853刘国成</t>
  </si>
  <si>
    <t>210000297伍仁伟</t>
  </si>
  <si>
    <t>金堂业务团队 汇总</t>
  </si>
  <si>
    <t>龙泉业务团队</t>
  </si>
  <si>
    <t>110009223黄艳</t>
  </si>
  <si>
    <t>110063090张建丽</t>
  </si>
  <si>
    <t>110253745喻凤</t>
  </si>
  <si>
    <t>200053407朱朝军</t>
  </si>
  <si>
    <t>龙泉业务团队 汇总</t>
  </si>
  <si>
    <t>彭州业务团队</t>
  </si>
  <si>
    <t>110063905刘青松</t>
  </si>
  <si>
    <t>110068839苏静</t>
  </si>
  <si>
    <t>110162448刘渊</t>
  </si>
  <si>
    <t>200051265唐晓敏</t>
  </si>
  <si>
    <t>彭州业务团队 汇总</t>
  </si>
  <si>
    <t>郫都业务团队</t>
  </si>
  <si>
    <t>110062122廖忠燕</t>
  </si>
  <si>
    <t>110071299陈晓玲</t>
  </si>
  <si>
    <t>110111926杨茜</t>
  </si>
  <si>
    <t>200052546曹霞</t>
  </si>
  <si>
    <t>210000302孔德勇</t>
  </si>
  <si>
    <t>210000443朱治宇</t>
  </si>
  <si>
    <t>210000466叶芊</t>
  </si>
  <si>
    <t>郫都业务团队 汇总</t>
  </si>
  <si>
    <t>蒲江业务团队</t>
  </si>
  <si>
    <t>110067438彭高荣</t>
  </si>
  <si>
    <t>200046053廖荣秋</t>
  </si>
  <si>
    <t>200046092张丽</t>
  </si>
  <si>
    <t>200051155罗磊</t>
  </si>
  <si>
    <t>200052588李珊</t>
  </si>
  <si>
    <t>210000273李孝林</t>
  </si>
  <si>
    <t>210011886张湖川</t>
  </si>
  <si>
    <t>210011887杨占军</t>
  </si>
  <si>
    <t>210011896乔军</t>
  </si>
  <si>
    <t>210011923彭明宇</t>
  </si>
  <si>
    <t>210011926何林</t>
  </si>
  <si>
    <t>210011982张濛兮</t>
  </si>
  <si>
    <t>210011989黄成涛</t>
  </si>
  <si>
    <t>210012032何秋</t>
  </si>
  <si>
    <t>蒲江业务团队 汇总</t>
  </si>
  <si>
    <t>青白江业务团队</t>
  </si>
  <si>
    <t>110052052官久强</t>
  </si>
  <si>
    <t>200048891周少平</t>
  </si>
  <si>
    <t>210000274李能飞</t>
  </si>
  <si>
    <t>210000455李信飞</t>
  </si>
  <si>
    <t>青白江业务团队 汇总</t>
  </si>
  <si>
    <t>邛崃业务团队</t>
  </si>
  <si>
    <t>210000351黄忠伟</t>
  </si>
  <si>
    <t>210012046罗攀</t>
  </si>
  <si>
    <t>邛崃业务团队 汇总</t>
  </si>
  <si>
    <t>天府业务二部</t>
  </si>
  <si>
    <t>210011866张世丽</t>
  </si>
  <si>
    <t>210011912彭文莉</t>
  </si>
  <si>
    <t>210011913曾玲</t>
  </si>
  <si>
    <t>210011956吕冬梅</t>
  </si>
  <si>
    <t>210011957徐涛</t>
  </si>
  <si>
    <t>210011970苟俊</t>
  </si>
  <si>
    <t>天府业务二部 汇总</t>
  </si>
  <si>
    <t>温江业务团队</t>
  </si>
  <si>
    <t>110051238潘小琼</t>
  </si>
  <si>
    <t>110052422赵波</t>
  </si>
  <si>
    <t>200053369赵诗婕</t>
  </si>
  <si>
    <t>210011941郭泳伶</t>
  </si>
  <si>
    <t>温江业务团队 汇总</t>
  </si>
  <si>
    <t>新津业务团队</t>
  </si>
  <si>
    <t>110030687黎蓓</t>
  </si>
  <si>
    <t>110035644唐斌</t>
  </si>
  <si>
    <t>210000264李杰</t>
  </si>
  <si>
    <t>210012030张蓉</t>
  </si>
  <si>
    <t>210012044周敏丽</t>
  </si>
  <si>
    <t>新津业务团队 汇总</t>
  </si>
  <si>
    <t>天府 汇总</t>
  </si>
  <si>
    <t>武侯</t>
  </si>
  <si>
    <t>武侯业务二部</t>
  </si>
  <si>
    <t>106014762刘刚</t>
  </si>
  <si>
    <t>110051827李涛</t>
  </si>
  <si>
    <t>110062739李沙</t>
  </si>
  <si>
    <t>200046035王停</t>
  </si>
  <si>
    <t>210000368张玉琳</t>
  </si>
  <si>
    <t>210011916付瑶</t>
  </si>
  <si>
    <t>武侯业务二部 汇总</t>
  </si>
  <si>
    <t>武侯业务五部</t>
  </si>
  <si>
    <t>110052432李景</t>
  </si>
  <si>
    <t>110054171刘婷</t>
  </si>
  <si>
    <t>210011869马霜</t>
  </si>
  <si>
    <t>210011921向志辉</t>
  </si>
  <si>
    <t>武侯业务五部 汇总</t>
  </si>
  <si>
    <t>武侯业务一部</t>
  </si>
  <si>
    <t>110082531马强</t>
  </si>
  <si>
    <t>200047909聂晶</t>
  </si>
  <si>
    <t>200049355谢黎黎</t>
  </si>
  <si>
    <t>200051024向光琼</t>
  </si>
  <si>
    <t>210012034范攀</t>
  </si>
  <si>
    <t>210012035张翡霏</t>
  </si>
  <si>
    <t>武侯业务一部 汇总</t>
  </si>
  <si>
    <t>110063349纪昌碧</t>
  </si>
  <si>
    <t>210011995李红英</t>
  </si>
  <si>
    <t>武侯 汇总</t>
  </si>
  <si>
    <t>高新</t>
  </si>
  <si>
    <t>春熙苑业务团队</t>
  </si>
  <si>
    <t>110031349舒雪梅</t>
  </si>
  <si>
    <t>110053136刘玉兵</t>
  </si>
  <si>
    <t>110242740漆玉彬</t>
  </si>
  <si>
    <t>春熙苑业务团队 汇总</t>
  </si>
  <si>
    <t>东林半岛业务团队</t>
  </si>
  <si>
    <t>110062855喻泽芬</t>
  </si>
  <si>
    <t>210000365李秋雨</t>
  </si>
  <si>
    <t>210011817赖红霞</t>
  </si>
  <si>
    <t>210011932齐雪</t>
  </si>
  <si>
    <t>东林半岛业务团队 汇总</t>
  </si>
  <si>
    <t>高新业务二部</t>
  </si>
  <si>
    <t>110030383蒲小燕</t>
  </si>
  <si>
    <t>200045242王伟</t>
  </si>
  <si>
    <t>200046028周艳翎</t>
  </si>
  <si>
    <t>200050786赵夕秋</t>
  </si>
  <si>
    <t>210000262王进</t>
  </si>
  <si>
    <t>210011835李红梅</t>
  </si>
  <si>
    <t>210011933葛强</t>
  </si>
  <si>
    <t>210012033沈小林</t>
  </si>
  <si>
    <t>高新业务二部 汇总</t>
  </si>
  <si>
    <t>高新业务三部</t>
  </si>
  <si>
    <t>210000266林立飞</t>
  </si>
  <si>
    <t>210011924高雷</t>
  </si>
  <si>
    <t>210011964谭中明</t>
  </si>
  <si>
    <t>高新业务三部 汇总</t>
  </si>
  <si>
    <t>高新业务四部</t>
  </si>
  <si>
    <t>210011985何猛</t>
  </si>
  <si>
    <t>210012024马俊</t>
  </si>
  <si>
    <t>210012036赵丹</t>
  </si>
  <si>
    <t>高新业务四部 汇总</t>
  </si>
  <si>
    <t>双流业务二部</t>
  </si>
  <si>
    <t>110021087杨秀红</t>
  </si>
  <si>
    <t>110023646李志蓉</t>
  </si>
  <si>
    <t>110102930杨香燕</t>
  </si>
  <si>
    <t>200049349余培</t>
  </si>
  <si>
    <t>210011944何秋艳</t>
  </si>
  <si>
    <t>双流业务二部 汇总</t>
  </si>
  <si>
    <t>天鑫花园业务团队</t>
  </si>
  <si>
    <t>110035279蒋朝伟</t>
  </si>
  <si>
    <t>200045244李晓琴</t>
  </si>
  <si>
    <t>210011973陈君才</t>
  </si>
  <si>
    <t>天鑫花园业务团队 汇总</t>
  </si>
  <si>
    <t>高新 汇总</t>
  </si>
  <si>
    <t>青羊</t>
  </si>
  <si>
    <t>非车险业务部</t>
  </si>
  <si>
    <t>110231242陈璐垚</t>
  </si>
  <si>
    <t>210000386毛霞</t>
  </si>
  <si>
    <t>210011911王诗杰</t>
  </si>
  <si>
    <t>非车险业务部 汇总</t>
  </si>
  <si>
    <t>青羊业务四部</t>
  </si>
  <si>
    <t>110015604曾世强</t>
  </si>
  <si>
    <t>110018010胥霞</t>
  </si>
  <si>
    <t>青羊业务四部 汇总</t>
  </si>
  <si>
    <t>青羊业务一部</t>
  </si>
  <si>
    <t>110028823李兴</t>
  </si>
  <si>
    <t>110031390陈会</t>
  </si>
  <si>
    <t>210011857陈静</t>
  </si>
  <si>
    <t>青羊业务一部 汇总</t>
  </si>
  <si>
    <t>200050970刘乔</t>
  </si>
  <si>
    <t>200053146付培</t>
  </si>
  <si>
    <t>200053182陈晓梅</t>
  </si>
  <si>
    <t>210000461周鑫磊</t>
  </si>
  <si>
    <t>210012010罗振</t>
  </si>
  <si>
    <t>青羊 汇总</t>
  </si>
  <si>
    <t>新都</t>
  </si>
  <si>
    <t>新都业务二部</t>
  </si>
  <si>
    <t>210011969谭文</t>
  </si>
  <si>
    <t>新都业务二部 汇总</t>
  </si>
  <si>
    <t>新都业务三部</t>
  </si>
  <si>
    <t>200048244许文翰</t>
  </si>
  <si>
    <t>200053178侯恒莎</t>
  </si>
  <si>
    <t>200053325潘泳吉</t>
  </si>
  <si>
    <t>210011915但力君</t>
  </si>
  <si>
    <t>210011946李维祺</t>
  </si>
  <si>
    <t>210011981何珊</t>
  </si>
  <si>
    <t>新都业务三部 汇总</t>
  </si>
  <si>
    <t>新都业务一部</t>
  </si>
  <si>
    <t>110058991杨神英</t>
  </si>
  <si>
    <t>110071594熊平</t>
  </si>
  <si>
    <t>110135635甘璐</t>
  </si>
  <si>
    <t>110188033郭景秀</t>
  </si>
  <si>
    <t>210000407薛兰</t>
  </si>
  <si>
    <t>新都业务一部 汇总</t>
  </si>
  <si>
    <t>新繁业务团队</t>
  </si>
  <si>
    <t>110061722何苗</t>
  </si>
  <si>
    <t>110070868何勇</t>
  </si>
  <si>
    <t>110084227冯双雪</t>
  </si>
  <si>
    <t>200045326林可</t>
  </si>
  <si>
    <t>210011893尹万福</t>
  </si>
  <si>
    <t>新繁业务团队 汇总</t>
  </si>
  <si>
    <t>新都 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</si>
</sst>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);[Red]\(0.00\)"/>
    <numFmt numFmtId="178" formatCode="0.0_ "/>
    <numFmt numFmtId="179" formatCode="0.0%"/>
  </numFmts>
  <fonts count="24">
    <font>
      <sz val="11"/>
      <color theme="1"/>
      <name val="微软雅黑 Light"/>
      <charset val="134"/>
    </font>
    <font>
      <b/>
      <sz val="11"/>
      <color theme="1"/>
      <name val="微软雅黑 Light"/>
      <charset val="134"/>
    </font>
    <font>
      <b/>
      <sz val="11"/>
      <color rgb="FFC00000"/>
      <name val="微软雅黑 Light"/>
      <charset val="134"/>
    </font>
    <font>
      <sz val="11"/>
      <name val="微软雅黑 Light"/>
      <charset val="134"/>
    </font>
    <font>
      <b/>
      <sz val="11"/>
      <name val="微软雅黑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177" fontId="1" fillId="2" borderId="3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76" fontId="1" fillId="2" borderId="5" xfId="0" applyNumberFormat="1" applyFont="1" applyFill="1" applyBorder="1" applyAlignment="1">
      <alignment horizontal="center" vertical="center" wrapText="1"/>
    </xf>
    <xf numFmtId="177" fontId="1" fillId="2" borderId="6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178" fontId="1" fillId="2" borderId="2" xfId="0" applyNumberFormat="1" applyFont="1" applyFill="1" applyBorder="1" applyAlignment="1">
      <alignment horizontal="center" vertical="center" wrapText="1"/>
    </xf>
    <xf numFmtId="178" fontId="1" fillId="2" borderId="3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178" fontId="1" fillId="2" borderId="4" xfId="0" applyNumberFormat="1" applyFont="1" applyFill="1" applyBorder="1" applyAlignment="1">
      <alignment horizontal="center" vertical="center"/>
    </xf>
    <xf numFmtId="178" fontId="1" fillId="2" borderId="5" xfId="0" applyNumberFormat="1" applyFont="1" applyFill="1" applyBorder="1" applyAlignment="1">
      <alignment horizontal="center" vertical="center"/>
    </xf>
    <xf numFmtId="178" fontId="1" fillId="2" borderId="6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8" fontId="3" fillId="0" borderId="4" xfId="0" applyNumberFormat="1" applyFont="1" applyFill="1" applyBorder="1" applyAlignment="1">
      <alignment horizontal="center" vertical="center"/>
    </xf>
    <xf numFmtId="178" fontId="3" fillId="0" borderId="5" xfId="0" applyNumberFormat="1" applyFont="1" applyFill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8" fontId="1" fillId="0" borderId="6" xfId="0" applyNumberFormat="1" applyFont="1" applyBorder="1" applyAlignment="1">
      <alignment horizontal="center" vertical="center"/>
    </xf>
    <xf numFmtId="179" fontId="0" fillId="0" borderId="4" xfId="0" applyNumberFormat="1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178" fontId="4" fillId="3" borderId="4" xfId="0" applyNumberFormat="1" applyFont="1" applyFill="1" applyBorder="1" applyAlignment="1">
      <alignment horizontal="center" vertical="center"/>
    </xf>
    <xf numFmtId="178" fontId="4" fillId="3" borderId="5" xfId="0" applyNumberFormat="1" applyFont="1" applyFill="1" applyBorder="1" applyAlignment="1">
      <alignment horizontal="center" vertical="center"/>
    </xf>
    <xf numFmtId="178" fontId="1" fillId="3" borderId="5" xfId="0" applyNumberFormat="1" applyFont="1" applyFill="1" applyBorder="1" applyAlignment="1">
      <alignment horizontal="center" vertical="center"/>
    </xf>
    <xf numFmtId="178" fontId="1" fillId="3" borderId="6" xfId="0" applyNumberFormat="1" applyFont="1" applyFill="1" applyBorder="1" applyAlignment="1">
      <alignment horizontal="center" vertical="center"/>
    </xf>
    <xf numFmtId="179" fontId="1" fillId="3" borderId="4" xfId="0" applyNumberFormat="1" applyFont="1" applyFill="1" applyBorder="1" applyAlignment="1">
      <alignment horizontal="center" vertical="center"/>
    </xf>
    <xf numFmtId="179" fontId="1" fillId="3" borderId="5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9" fontId="0" fillId="0" borderId="6" xfId="0" applyNumberFormat="1" applyBorder="1" applyAlignment="1">
      <alignment horizontal="center" vertical="center"/>
    </xf>
    <xf numFmtId="179" fontId="1" fillId="3" borderId="6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178" fontId="1" fillId="3" borderId="8" xfId="0" applyNumberFormat="1" applyFont="1" applyFill="1" applyBorder="1" applyAlignment="1">
      <alignment horizontal="center" vertical="center"/>
    </xf>
    <xf numFmtId="178" fontId="1" fillId="3" borderId="9" xfId="0" applyNumberFormat="1" applyFont="1" applyFill="1" applyBorder="1" applyAlignment="1">
      <alignment horizontal="center" vertical="center"/>
    </xf>
    <xf numFmtId="179" fontId="1" fillId="3" borderId="7" xfId="0" applyNumberFormat="1" applyFont="1" applyFill="1" applyBorder="1" applyAlignment="1">
      <alignment horizontal="center" vertical="center"/>
    </xf>
    <xf numFmtId="179" fontId="1" fillId="3" borderId="8" xfId="0" applyNumberFormat="1" applyFont="1" applyFill="1" applyBorder="1" applyAlignment="1">
      <alignment horizontal="center" vertical="center"/>
    </xf>
    <xf numFmtId="179" fontId="1" fillId="3" borderId="9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b val="1"/>
        <i val="0"/>
      </font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3"/>
  <sheetViews>
    <sheetView showGridLines="0" tabSelected="1" workbookViewId="0">
      <pane xSplit="3" ySplit="2" topLeftCell="D3" activePane="bottomRight" state="frozen"/>
      <selection/>
      <selection pane="topRight"/>
      <selection pane="bottomLeft"/>
      <selection pane="bottomRight" activeCell="S19" sqref="S19"/>
    </sheetView>
  </sheetViews>
  <sheetFormatPr defaultColWidth="8.88888888888889" defaultRowHeight="16.5"/>
  <cols>
    <col min="1" max="1" width="8.88888888888889" style="1"/>
    <col min="2" max="2" width="18.6666666666667" style="1" customWidth="1"/>
    <col min="3" max="3" width="16.6666666666667" style="1" customWidth="1"/>
    <col min="4" max="4" width="9.66666666666667" style="2" customWidth="1"/>
    <col min="5" max="5" width="9.55555555555556" style="3" customWidth="1"/>
    <col min="6" max="8" width="8.88888888888889" style="1"/>
    <col min="9" max="9" width="8.88888888888889" style="4"/>
    <col min="10" max="10" width="10.3333333333333" style="5"/>
    <col min="11" max="11" width="10.2222222222222" style="5"/>
    <col min="12" max="12" width="9.22222222222222" style="5"/>
    <col min="13" max="13" width="9.77777777777778" style="6" customWidth="1"/>
    <col min="14" max="16384" width="8.88888888888889" style="1"/>
  </cols>
  <sheetData>
    <row r="1" ht="21" customHeight="1" spans="1:20">
      <c r="A1" s="7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7" t="s">
        <v>5</v>
      </c>
      <c r="G1" s="11"/>
      <c r="H1" s="11"/>
      <c r="I1" s="29"/>
      <c r="J1" s="30" t="s">
        <v>6</v>
      </c>
      <c r="K1" s="31"/>
      <c r="L1" s="31"/>
      <c r="M1" s="32"/>
      <c r="N1" s="7" t="s">
        <v>7</v>
      </c>
      <c r="O1" s="11"/>
      <c r="P1" s="11"/>
      <c r="Q1" s="29"/>
      <c r="S1" s="50"/>
      <c r="T1" s="50"/>
    </row>
    <row r="2" ht="21" customHeight="1" spans="1:17">
      <c r="A2" s="12"/>
      <c r="B2" s="13"/>
      <c r="C2" s="13"/>
      <c r="D2" s="14"/>
      <c r="E2" s="15"/>
      <c r="F2" s="16" t="s">
        <v>8</v>
      </c>
      <c r="G2" s="17" t="s">
        <v>9</v>
      </c>
      <c r="H2" s="17" t="s">
        <v>10</v>
      </c>
      <c r="I2" s="33" t="s">
        <v>11</v>
      </c>
      <c r="J2" s="34" t="s">
        <v>8</v>
      </c>
      <c r="K2" s="35" t="s">
        <v>9</v>
      </c>
      <c r="L2" s="35" t="s">
        <v>10</v>
      </c>
      <c r="M2" s="36" t="s">
        <v>11</v>
      </c>
      <c r="N2" s="16" t="s">
        <v>8</v>
      </c>
      <c r="O2" s="17" t="s">
        <v>9</v>
      </c>
      <c r="P2" s="17" t="s">
        <v>10</v>
      </c>
      <c r="Q2" s="33" t="s">
        <v>11</v>
      </c>
    </row>
    <row r="3" spans="1:17">
      <c r="A3" s="18" t="s">
        <v>12</v>
      </c>
      <c r="B3" s="19" t="s">
        <v>13</v>
      </c>
      <c r="C3" s="19" t="s">
        <v>14</v>
      </c>
      <c r="D3" s="20">
        <v>44369</v>
      </c>
      <c r="E3" s="21">
        <v>12</v>
      </c>
      <c r="F3" s="18">
        <v>100</v>
      </c>
      <c r="G3" s="19">
        <v>120</v>
      </c>
      <c r="H3" s="19">
        <v>80</v>
      </c>
      <c r="I3" s="37">
        <v>300</v>
      </c>
      <c r="J3" s="38">
        <v>39.77</v>
      </c>
      <c r="K3" s="39">
        <v>56.69</v>
      </c>
      <c r="L3" s="40">
        <v>61.89</v>
      </c>
      <c r="M3" s="41">
        <v>158.35</v>
      </c>
      <c r="N3" s="42">
        <f>J3/$E3*12/F3</f>
        <v>0.3977</v>
      </c>
      <c r="O3" s="43">
        <f>K3/$E3*12/G3</f>
        <v>0.472416666666667</v>
      </c>
      <c r="P3" s="43">
        <f>L3/$E3*12/H3</f>
        <v>0.773625</v>
      </c>
      <c r="Q3" s="51">
        <f>M3/$E3*12/I3</f>
        <v>0.527833333333333</v>
      </c>
    </row>
    <row r="4" spans="1:17">
      <c r="A4" s="18" t="s">
        <v>12</v>
      </c>
      <c r="B4" s="19" t="s">
        <v>13</v>
      </c>
      <c r="C4" s="19" t="s">
        <v>15</v>
      </c>
      <c r="D4" s="20">
        <v>44397</v>
      </c>
      <c r="E4" s="21">
        <v>12</v>
      </c>
      <c r="F4" s="18">
        <v>80</v>
      </c>
      <c r="G4" s="19">
        <v>40</v>
      </c>
      <c r="H4" s="19">
        <v>80</v>
      </c>
      <c r="I4" s="37">
        <v>200</v>
      </c>
      <c r="J4" s="38">
        <v>228.18</v>
      </c>
      <c r="K4" s="39">
        <v>25.89</v>
      </c>
      <c r="L4" s="40">
        <v>321.01</v>
      </c>
      <c r="M4" s="41">
        <v>575.08</v>
      </c>
      <c r="N4" s="42">
        <f t="shared" ref="N4:N11" si="0">J4/$E4*12/F4</f>
        <v>2.85225</v>
      </c>
      <c r="O4" s="43">
        <f t="shared" ref="O4:O11" si="1">K4/$E4*12/G4</f>
        <v>0.64725</v>
      </c>
      <c r="P4" s="43">
        <f t="shared" ref="P4:P11" si="2">L4/$E4*12/H4</f>
        <v>4.012625</v>
      </c>
      <c r="Q4" s="51">
        <f t="shared" ref="Q4:Q11" si="3">M4/$E4*12/I4</f>
        <v>2.8754</v>
      </c>
    </row>
    <row r="5" spans="1:17">
      <c r="A5" s="18" t="s">
        <v>12</v>
      </c>
      <c r="B5" s="19" t="s">
        <v>13</v>
      </c>
      <c r="C5" s="19" t="s">
        <v>16</v>
      </c>
      <c r="D5" s="20">
        <v>44781</v>
      </c>
      <c r="E5" s="21">
        <v>12</v>
      </c>
      <c r="F5" s="18">
        <v>100</v>
      </c>
      <c r="G5" s="19">
        <v>20</v>
      </c>
      <c r="H5" s="19">
        <v>30</v>
      </c>
      <c r="I5" s="37">
        <v>150</v>
      </c>
      <c r="J5" s="38">
        <v>86.43</v>
      </c>
      <c r="K5" s="39">
        <v>24.18</v>
      </c>
      <c r="L5" s="40">
        <v>25.28</v>
      </c>
      <c r="M5" s="41">
        <v>135.89</v>
      </c>
      <c r="N5" s="42">
        <f t="shared" si="0"/>
        <v>0.8643</v>
      </c>
      <c r="O5" s="43">
        <f t="shared" si="1"/>
        <v>1.209</v>
      </c>
      <c r="P5" s="43">
        <f t="shared" si="2"/>
        <v>0.842666666666667</v>
      </c>
      <c r="Q5" s="51">
        <f t="shared" si="3"/>
        <v>0.905933333333333</v>
      </c>
    </row>
    <row r="6" spans="1:17">
      <c r="A6" s="18" t="s">
        <v>12</v>
      </c>
      <c r="B6" s="19" t="s">
        <v>13</v>
      </c>
      <c r="C6" s="19" t="s">
        <v>17</v>
      </c>
      <c r="D6" s="20">
        <v>44902</v>
      </c>
      <c r="E6" s="21">
        <v>12</v>
      </c>
      <c r="F6" s="18">
        <v>100</v>
      </c>
      <c r="G6" s="19">
        <v>70</v>
      </c>
      <c r="H6" s="19">
        <v>30</v>
      </c>
      <c r="I6" s="37">
        <v>200</v>
      </c>
      <c r="J6" s="38">
        <v>6.19</v>
      </c>
      <c r="K6" s="39">
        <v>70.45</v>
      </c>
      <c r="L6" s="40">
        <v>21.15</v>
      </c>
      <c r="M6" s="41">
        <v>97.79</v>
      </c>
      <c r="N6" s="42">
        <f t="shared" si="0"/>
        <v>0.0619</v>
      </c>
      <c r="O6" s="43">
        <f t="shared" si="1"/>
        <v>1.00642857142857</v>
      </c>
      <c r="P6" s="43">
        <f t="shared" si="2"/>
        <v>0.705</v>
      </c>
      <c r="Q6" s="51">
        <f t="shared" si="3"/>
        <v>0.48895</v>
      </c>
    </row>
    <row r="7" spans="1:17">
      <c r="A7" s="18" t="s">
        <v>12</v>
      </c>
      <c r="B7" s="19" t="s">
        <v>13</v>
      </c>
      <c r="C7" s="19" t="s">
        <v>18</v>
      </c>
      <c r="D7" s="20">
        <v>45006</v>
      </c>
      <c r="E7" s="21">
        <v>12</v>
      </c>
      <c r="F7" s="18">
        <v>100</v>
      </c>
      <c r="G7" s="19">
        <v>60</v>
      </c>
      <c r="H7" s="19">
        <v>80</v>
      </c>
      <c r="I7" s="37">
        <v>240</v>
      </c>
      <c r="J7" s="38">
        <v>99.18</v>
      </c>
      <c r="K7" s="39">
        <v>5.75</v>
      </c>
      <c r="L7" s="40">
        <v>113.36</v>
      </c>
      <c r="M7" s="41">
        <v>218.29</v>
      </c>
      <c r="N7" s="42">
        <f t="shared" si="0"/>
        <v>0.9918</v>
      </c>
      <c r="O7" s="43">
        <f t="shared" si="1"/>
        <v>0.0958333333333333</v>
      </c>
      <c r="P7" s="43">
        <f t="shared" si="2"/>
        <v>1.417</v>
      </c>
      <c r="Q7" s="51">
        <f t="shared" si="3"/>
        <v>0.909541666666667</v>
      </c>
    </row>
    <row r="8" spans="1:17">
      <c r="A8" s="18" t="s">
        <v>12</v>
      </c>
      <c r="B8" s="19" t="s">
        <v>13</v>
      </c>
      <c r="C8" s="19" t="s">
        <v>19</v>
      </c>
      <c r="D8" s="20">
        <v>45232</v>
      </c>
      <c r="E8" s="21">
        <v>12</v>
      </c>
      <c r="F8" s="18">
        <v>100</v>
      </c>
      <c r="G8" s="19">
        <v>20</v>
      </c>
      <c r="H8" s="19">
        <v>30</v>
      </c>
      <c r="I8" s="37">
        <v>150</v>
      </c>
      <c r="J8" s="38">
        <v>55.77</v>
      </c>
      <c r="K8" s="39">
        <v>26.89</v>
      </c>
      <c r="L8" s="40">
        <v>76.08</v>
      </c>
      <c r="M8" s="41">
        <v>158.74</v>
      </c>
      <c r="N8" s="42">
        <f t="shared" si="0"/>
        <v>0.5577</v>
      </c>
      <c r="O8" s="43">
        <f t="shared" si="1"/>
        <v>1.3445</v>
      </c>
      <c r="P8" s="43">
        <f t="shared" si="2"/>
        <v>2.536</v>
      </c>
      <c r="Q8" s="51">
        <f t="shared" si="3"/>
        <v>1.05826666666667</v>
      </c>
    </row>
    <row r="9" spans="1:17">
      <c r="A9" s="18" t="s">
        <v>12</v>
      </c>
      <c r="B9" s="19" t="s">
        <v>13</v>
      </c>
      <c r="C9" s="19" t="s">
        <v>20</v>
      </c>
      <c r="D9" s="20">
        <v>45814</v>
      </c>
      <c r="E9" s="21">
        <v>6.87123287671233</v>
      </c>
      <c r="F9" s="22"/>
      <c r="G9" s="23"/>
      <c r="H9" s="23"/>
      <c r="I9" s="37">
        <v>240</v>
      </c>
      <c r="J9" s="38">
        <v>26.25</v>
      </c>
      <c r="K9" s="39">
        <v>13.9</v>
      </c>
      <c r="L9" s="40">
        <v>57.7</v>
      </c>
      <c r="M9" s="41">
        <v>97.85</v>
      </c>
      <c r="N9" s="42"/>
      <c r="O9" s="43"/>
      <c r="P9" s="43"/>
      <c r="Q9" s="51">
        <f t="shared" si="3"/>
        <v>0.712026515151515</v>
      </c>
    </row>
    <row r="10" spans="1:17">
      <c r="A10" s="18" t="s">
        <v>12</v>
      </c>
      <c r="B10" s="19" t="s">
        <v>13</v>
      </c>
      <c r="C10" s="19" t="s">
        <v>21</v>
      </c>
      <c r="D10" s="20">
        <v>45814</v>
      </c>
      <c r="E10" s="21">
        <v>6.87123287671233</v>
      </c>
      <c r="F10" s="22"/>
      <c r="G10" s="23"/>
      <c r="H10" s="23"/>
      <c r="I10" s="37">
        <v>300</v>
      </c>
      <c r="J10" s="38">
        <v>23.68</v>
      </c>
      <c r="K10" s="39">
        <v>0</v>
      </c>
      <c r="L10" s="40">
        <v>46.24</v>
      </c>
      <c r="M10" s="41">
        <v>69.92</v>
      </c>
      <c r="N10" s="42"/>
      <c r="O10" s="43"/>
      <c r="P10" s="43"/>
      <c r="Q10" s="51">
        <f t="shared" si="3"/>
        <v>0.407030303030303</v>
      </c>
    </row>
    <row r="11" spans="1:17">
      <c r="A11" s="18" t="s">
        <v>12</v>
      </c>
      <c r="B11" s="19" t="s">
        <v>13</v>
      </c>
      <c r="C11" s="19" t="s">
        <v>22</v>
      </c>
      <c r="D11" s="20">
        <v>45819</v>
      </c>
      <c r="E11" s="21">
        <v>6.70684931506849</v>
      </c>
      <c r="F11" s="22"/>
      <c r="G11" s="23"/>
      <c r="H11" s="23"/>
      <c r="I11" s="37">
        <v>150</v>
      </c>
      <c r="J11" s="38">
        <v>22.53</v>
      </c>
      <c r="K11" s="39">
        <v>2.39</v>
      </c>
      <c r="L11" s="40">
        <v>18.07</v>
      </c>
      <c r="M11" s="41">
        <v>42.99</v>
      </c>
      <c r="N11" s="42"/>
      <c r="O11" s="43"/>
      <c r="P11" s="43"/>
      <c r="Q11" s="51">
        <f t="shared" si="3"/>
        <v>0.512789215686274</v>
      </c>
    </row>
    <row r="12" spans="1:17">
      <c r="A12" s="24" t="s">
        <v>12</v>
      </c>
      <c r="B12" s="25" t="s">
        <v>23</v>
      </c>
      <c r="C12" s="26"/>
      <c r="D12" s="26"/>
      <c r="E12" s="27">
        <v>12</v>
      </c>
      <c r="F12" s="28">
        <v>780</v>
      </c>
      <c r="G12" s="26">
        <v>400</v>
      </c>
      <c r="H12" s="26">
        <v>420</v>
      </c>
      <c r="I12" s="27">
        <v>1600</v>
      </c>
      <c r="J12" s="44">
        <v>527.74</v>
      </c>
      <c r="K12" s="45">
        <v>199.89</v>
      </c>
      <c r="L12" s="46">
        <v>640.74</v>
      </c>
      <c r="M12" s="47">
        <v>1368.37</v>
      </c>
      <c r="N12" s="48">
        <f t="shared" ref="N12:N75" si="4">J12/$E12*12/F12</f>
        <v>0.676589743589744</v>
      </c>
      <c r="O12" s="49">
        <f t="shared" ref="O12:O75" si="5">K12/$E12*12/G12</f>
        <v>0.499725</v>
      </c>
      <c r="P12" s="49">
        <f t="shared" ref="P12:P75" si="6">L12/$E12*12/H12</f>
        <v>1.52557142857143</v>
      </c>
      <c r="Q12" s="52">
        <f t="shared" ref="Q12:Q75" si="7">M12/$E12*12/I12</f>
        <v>0.85523125</v>
      </c>
    </row>
    <row r="13" spans="1:17">
      <c r="A13" s="18" t="s">
        <v>12</v>
      </c>
      <c r="B13" s="19" t="s">
        <v>24</v>
      </c>
      <c r="C13" s="19" t="s">
        <v>25</v>
      </c>
      <c r="D13" s="20">
        <v>45614</v>
      </c>
      <c r="E13" s="21">
        <v>12</v>
      </c>
      <c r="F13" s="18">
        <v>220</v>
      </c>
      <c r="G13" s="19">
        <v>120</v>
      </c>
      <c r="H13" s="19">
        <v>140</v>
      </c>
      <c r="I13" s="37">
        <v>480</v>
      </c>
      <c r="J13" s="38">
        <v>70.57</v>
      </c>
      <c r="K13" s="39">
        <v>26.27</v>
      </c>
      <c r="L13" s="40">
        <v>8.81</v>
      </c>
      <c r="M13" s="41">
        <v>105.65</v>
      </c>
      <c r="N13" s="42">
        <f t="shared" si="4"/>
        <v>0.320772727272727</v>
      </c>
      <c r="O13" s="43">
        <f t="shared" si="5"/>
        <v>0.218916666666667</v>
      </c>
      <c r="P13" s="43">
        <f t="shared" si="6"/>
        <v>0.0629285714285714</v>
      </c>
      <c r="Q13" s="51">
        <f t="shared" si="7"/>
        <v>0.220104166666667</v>
      </c>
    </row>
    <row r="14" spans="1:17">
      <c r="A14" s="18" t="s">
        <v>12</v>
      </c>
      <c r="B14" s="19" t="s">
        <v>24</v>
      </c>
      <c r="C14" s="19" t="s">
        <v>26</v>
      </c>
      <c r="D14" s="20">
        <v>45740</v>
      </c>
      <c r="E14" s="21">
        <v>9.3041095890411</v>
      </c>
      <c r="F14" s="22"/>
      <c r="G14" s="23"/>
      <c r="H14" s="23"/>
      <c r="I14" s="37">
        <v>300</v>
      </c>
      <c r="J14" s="38">
        <v>155.45</v>
      </c>
      <c r="K14" s="39">
        <v>1.53</v>
      </c>
      <c r="L14" s="40">
        <v>63.26</v>
      </c>
      <c r="M14" s="41">
        <v>220.24</v>
      </c>
      <c r="N14" s="42"/>
      <c r="O14" s="43"/>
      <c r="P14" s="43"/>
      <c r="Q14" s="51">
        <f t="shared" si="7"/>
        <v>0.946850412249705</v>
      </c>
    </row>
    <row r="15" spans="1:17">
      <c r="A15" s="18" t="s">
        <v>12</v>
      </c>
      <c r="B15" s="19" t="s">
        <v>24</v>
      </c>
      <c r="C15" s="19" t="s">
        <v>27</v>
      </c>
      <c r="D15" s="20">
        <v>45825</v>
      </c>
      <c r="E15" s="21">
        <v>6.50958904109589</v>
      </c>
      <c r="F15" s="22"/>
      <c r="G15" s="23"/>
      <c r="H15" s="23"/>
      <c r="I15" s="37">
        <v>230</v>
      </c>
      <c r="J15" s="38">
        <v>183.68</v>
      </c>
      <c r="K15" s="39">
        <v>0</v>
      </c>
      <c r="L15" s="40">
        <v>15.91</v>
      </c>
      <c r="M15" s="41">
        <v>199.59</v>
      </c>
      <c r="N15" s="42"/>
      <c r="O15" s="43"/>
      <c r="P15" s="43"/>
      <c r="Q15" s="51">
        <f t="shared" si="7"/>
        <v>1.59970026350461</v>
      </c>
    </row>
    <row r="16" spans="1:17">
      <c r="A16" s="18" t="s">
        <v>12</v>
      </c>
      <c r="B16" s="19" t="s">
        <v>24</v>
      </c>
      <c r="C16" s="19" t="s">
        <v>28</v>
      </c>
      <c r="D16" s="20">
        <v>45825</v>
      </c>
      <c r="E16" s="21">
        <v>6.50958904109589</v>
      </c>
      <c r="F16" s="22"/>
      <c r="G16" s="23"/>
      <c r="H16" s="23"/>
      <c r="I16" s="37">
        <v>150</v>
      </c>
      <c r="J16" s="38">
        <v>28.94</v>
      </c>
      <c r="K16" s="39">
        <v>51.62</v>
      </c>
      <c r="L16" s="40">
        <v>21.03</v>
      </c>
      <c r="M16" s="41">
        <v>101.59</v>
      </c>
      <c r="N16" s="42"/>
      <c r="O16" s="43"/>
      <c r="P16" s="43"/>
      <c r="Q16" s="51">
        <f t="shared" si="7"/>
        <v>1.24849663299663</v>
      </c>
    </row>
    <row r="17" spans="1:17">
      <c r="A17" s="24" t="s">
        <v>12</v>
      </c>
      <c r="B17" s="25" t="s">
        <v>29</v>
      </c>
      <c r="C17" s="26"/>
      <c r="D17" s="26"/>
      <c r="E17" s="27">
        <v>1.35</v>
      </c>
      <c r="F17" s="28"/>
      <c r="G17" s="26"/>
      <c r="H17" s="26"/>
      <c r="I17" s="27">
        <v>600</v>
      </c>
      <c r="J17" s="44">
        <v>72.04</v>
      </c>
      <c r="K17" s="45">
        <v>2.71</v>
      </c>
      <c r="L17" s="46">
        <v>18.55</v>
      </c>
      <c r="M17" s="47">
        <v>93.3</v>
      </c>
      <c r="N17" s="48"/>
      <c r="O17" s="49"/>
      <c r="P17" s="49"/>
      <c r="Q17" s="52">
        <f t="shared" si="7"/>
        <v>1.38222222222222</v>
      </c>
    </row>
    <row r="18" spans="1:17">
      <c r="A18" s="18" t="s">
        <v>12</v>
      </c>
      <c r="B18" s="19"/>
      <c r="C18" s="19" t="s">
        <v>30</v>
      </c>
      <c r="D18" s="20">
        <v>41887</v>
      </c>
      <c r="E18" s="21">
        <v>12</v>
      </c>
      <c r="F18" s="18">
        <v>100</v>
      </c>
      <c r="G18" s="19">
        <v>60</v>
      </c>
      <c r="H18" s="19">
        <v>40</v>
      </c>
      <c r="I18" s="37">
        <v>200</v>
      </c>
      <c r="J18" s="38">
        <v>169.64</v>
      </c>
      <c r="K18" s="39">
        <v>30.17</v>
      </c>
      <c r="L18" s="40">
        <v>48.38</v>
      </c>
      <c r="M18" s="41">
        <v>248.19</v>
      </c>
      <c r="N18" s="42">
        <f t="shared" si="4"/>
        <v>1.6964</v>
      </c>
      <c r="O18" s="43">
        <f t="shared" si="5"/>
        <v>0.502833333333333</v>
      </c>
      <c r="P18" s="43">
        <f t="shared" si="6"/>
        <v>1.2095</v>
      </c>
      <c r="Q18" s="51">
        <f t="shared" si="7"/>
        <v>1.24095</v>
      </c>
    </row>
    <row r="19" spans="1:17">
      <c r="A19" s="18" t="s">
        <v>12</v>
      </c>
      <c r="B19" s="19"/>
      <c r="C19" s="19" t="s">
        <v>31</v>
      </c>
      <c r="D19" s="20">
        <v>43385</v>
      </c>
      <c r="E19" s="21">
        <v>12</v>
      </c>
      <c r="F19" s="18">
        <v>100</v>
      </c>
      <c r="G19" s="19">
        <v>60</v>
      </c>
      <c r="H19" s="19">
        <v>240</v>
      </c>
      <c r="I19" s="37">
        <v>400</v>
      </c>
      <c r="J19" s="38">
        <v>241.03</v>
      </c>
      <c r="K19" s="39">
        <v>1.97</v>
      </c>
      <c r="L19" s="40">
        <v>366.54</v>
      </c>
      <c r="M19" s="41">
        <v>609.54</v>
      </c>
      <c r="N19" s="42">
        <f t="shared" si="4"/>
        <v>2.4103</v>
      </c>
      <c r="O19" s="43">
        <f t="shared" si="5"/>
        <v>0.0328333333333333</v>
      </c>
      <c r="P19" s="43">
        <f t="shared" si="6"/>
        <v>1.52725</v>
      </c>
      <c r="Q19" s="51">
        <f t="shared" si="7"/>
        <v>1.52385</v>
      </c>
    </row>
    <row r="20" spans="1:17">
      <c r="A20" s="18" t="s">
        <v>12</v>
      </c>
      <c r="B20" s="19"/>
      <c r="C20" s="19" t="s">
        <v>32</v>
      </c>
      <c r="D20" s="20">
        <v>45141</v>
      </c>
      <c r="E20" s="21">
        <v>12</v>
      </c>
      <c r="F20" s="18">
        <v>150</v>
      </c>
      <c r="G20" s="19">
        <v>70</v>
      </c>
      <c r="H20" s="19">
        <v>150</v>
      </c>
      <c r="I20" s="37">
        <v>370</v>
      </c>
      <c r="J20" s="38">
        <v>445.72</v>
      </c>
      <c r="K20" s="39">
        <v>2.46</v>
      </c>
      <c r="L20" s="40">
        <v>4.22</v>
      </c>
      <c r="M20" s="41">
        <v>452.4</v>
      </c>
      <c r="N20" s="42">
        <f t="shared" si="4"/>
        <v>2.97146666666667</v>
      </c>
      <c r="O20" s="43">
        <f t="shared" si="5"/>
        <v>0.0351428571428571</v>
      </c>
      <c r="P20" s="43">
        <f t="shared" si="6"/>
        <v>0.0281333333333333</v>
      </c>
      <c r="Q20" s="51">
        <f t="shared" si="7"/>
        <v>1.2227027027027</v>
      </c>
    </row>
    <row r="21" spans="1:17">
      <c r="A21" s="18" t="s">
        <v>12</v>
      </c>
      <c r="B21" s="19"/>
      <c r="C21" s="19" t="s">
        <v>33</v>
      </c>
      <c r="D21" s="20">
        <v>45232</v>
      </c>
      <c r="E21" s="21">
        <v>12</v>
      </c>
      <c r="F21" s="18">
        <v>100</v>
      </c>
      <c r="G21" s="19">
        <v>40</v>
      </c>
      <c r="H21" s="19">
        <v>10</v>
      </c>
      <c r="I21" s="37">
        <v>150</v>
      </c>
      <c r="J21" s="38">
        <v>71.24</v>
      </c>
      <c r="K21" s="39">
        <v>21.56</v>
      </c>
      <c r="L21" s="40">
        <v>61.66</v>
      </c>
      <c r="M21" s="41">
        <v>154.46</v>
      </c>
      <c r="N21" s="42">
        <f t="shared" si="4"/>
        <v>0.7124</v>
      </c>
      <c r="O21" s="43">
        <f t="shared" si="5"/>
        <v>0.539</v>
      </c>
      <c r="P21" s="43">
        <f t="shared" si="6"/>
        <v>6.166</v>
      </c>
      <c r="Q21" s="51">
        <f t="shared" si="7"/>
        <v>1.02973333333333</v>
      </c>
    </row>
    <row r="22" spans="1:17">
      <c r="A22" s="18" t="s">
        <v>12</v>
      </c>
      <c r="B22" s="19"/>
      <c r="C22" s="19" t="s">
        <v>34</v>
      </c>
      <c r="D22" s="20">
        <v>45428</v>
      </c>
      <c r="E22" s="21">
        <v>12</v>
      </c>
      <c r="F22" s="18">
        <v>100</v>
      </c>
      <c r="G22" s="19">
        <v>100</v>
      </c>
      <c r="H22" s="19">
        <v>80</v>
      </c>
      <c r="I22" s="37">
        <v>280</v>
      </c>
      <c r="J22" s="38">
        <v>134.8</v>
      </c>
      <c r="K22" s="39">
        <v>6.75</v>
      </c>
      <c r="L22" s="40">
        <v>6</v>
      </c>
      <c r="M22" s="41">
        <v>147.55</v>
      </c>
      <c r="N22" s="42">
        <f t="shared" si="4"/>
        <v>1.348</v>
      </c>
      <c r="O22" s="43">
        <f t="shared" si="5"/>
        <v>0.0675</v>
      </c>
      <c r="P22" s="43">
        <f t="shared" si="6"/>
        <v>0.075</v>
      </c>
      <c r="Q22" s="51">
        <f t="shared" si="7"/>
        <v>0.526964285714286</v>
      </c>
    </row>
    <row r="23" spans="1:17">
      <c r="A23" s="18" t="s">
        <v>12</v>
      </c>
      <c r="B23" s="19"/>
      <c r="C23" s="19" t="s">
        <v>35</v>
      </c>
      <c r="D23" s="20">
        <v>45614</v>
      </c>
      <c r="E23" s="21">
        <v>12</v>
      </c>
      <c r="F23" s="18">
        <v>150</v>
      </c>
      <c r="G23" s="19">
        <v>60</v>
      </c>
      <c r="H23" s="19">
        <v>140</v>
      </c>
      <c r="I23" s="37">
        <v>350</v>
      </c>
      <c r="J23" s="38">
        <v>294.57</v>
      </c>
      <c r="K23" s="39">
        <v>0.07</v>
      </c>
      <c r="L23" s="40">
        <v>2.49</v>
      </c>
      <c r="M23" s="41">
        <v>297.13</v>
      </c>
      <c r="N23" s="42">
        <f t="shared" si="4"/>
        <v>1.9638</v>
      </c>
      <c r="O23" s="43">
        <f t="shared" si="5"/>
        <v>0.00116666666666667</v>
      </c>
      <c r="P23" s="43">
        <f t="shared" si="6"/>
        <v>0.0177857142857143</v>
      </c>
      <c r="Q23" s="51">
        <f t="shared" si="7"/>
        <v>0.848942857142857</v>
      </c>
    </row>
    <row r="24" spans="1:17">
      <c r="A24" s="18" t="s">
        <v>12</v>
      </c>
      <c r="B24" s="19"/>
      <c r="C24" s="19" t="s">
        <v>36</v>
      </c>
      <c r="D24" s="20">
        <v>45740</v>
      </c>
      <c r="E24" s="21">
        <v>9.3041095890411</v>
      </c>
      <c r="F24" s="22"/>
      <c r="G24" s="23"/>
      <c r="H24" s="23"/>
      <c r="I24" s="37">
        <v>300</v>
      </c>
      <c r="J24" s="38">
        <v>231.3</v>
      </c>
      <c r="K24" s="39">
        <v>66.32</v>
      </c>
      <c r="L24" s="40">
        <v>315.44</v>
      </c>
      <c r="M24" s="41">
        <v>613.06</v>
      </c>
      <c r="N24" s="42"/>
      <c r="O24" s="43"/>
      <c r="P24" s="43"/>
      <c r="Q24" s="51">
        <f t="shared" si="7"/>
        <v>2.63565253239105</v>
      </c>
    </row>
    <row r="25" spans="1:17">
      <c r="A25" s="24" t="s">
        <v>12</v>
      </c>
      <c r="B25" s="26" t="s">
        <v>37</v>
      </c>
      <c r="C25" s="26"/>
      <c r="D25" s="26"/>
      <c r="E25" s="27">
        <v>12</v>
      </c>
      <c r="F25" s="28">
        <v>2270</v>
      </c>
      <c r="G25" s="26">
        <v>1610</v>
      </c>
      <c r="H25" s="26">
        <v>2000</v>
      </c>
      <c r="I25" s="27">
        <v>5880</v>
      </c>
      <c r="J25" s="44">
        <v>2911.49</v>
      </c>
      <c r="K25" s="45">
        <v>1098.89</v>
      </c>
      <c r="L25" s="46">
        <v>1754.61</v>
      </c>
      <c r="M25" s="47">
        <v>5764.99</v>
      </c>
      <c r="N25" s="48">
        <f t="shared" si="4"/>
        <v>1.28259471365639</v>
      </c>
      <c r="O25" s="49">
        <f t="shared" si="5"/>
        <v>0.682540372670807</v>
      </c>
      <c r="P25" s="49">
        <f t="shared" si="6"/>
        <v>0.877305</v>
      </c>
      <c r="Q25" s="52">
        <f t="shared" si="7"/>
        <v>0.980440476190476</v>
      </c>
    </row>
    <row r="26" spans="1:17">
      <c r="A26" s="18" t="s">
        <v>38</v>
      </c>
      <c r="B26" s="19" t="s">
        <v>39</v>
      </c>
      <c r="C26" s="19" t="s">
        <v>40</v>
      </c>
      <c r="D26" s="20">
        <v>42543</v>
      </c>
      <c r="E26" s="21">
        <v>12</v>
      </c>
      <c r="F26" s="18">
        <v>20</v>
      </c>
      <c r="G26" s="19">
        <v>50</v>
      </c>
      <c r="H26" s="19">
        <v>50</v>
      </c>
      <c r="I26" s="37">
        <v>120</v>
      </c>
      <c r="J26" s="38">
        <v>0</v>
      </c>
      <c r="K26" s="39">
        <v>187.2</v>
      </c>
      <c r="L26" s="40">
        <v>136.06</v>
      </c>
      <c r="M26" s="41">
        <v>323.26</v>
      </c>
      <c r="N26" s="42">
        <f t="shared" si="4"/>
        <v>0</v>
      </c>
      <c r="O26" s="43">
        <f t="shared" si="5"/>
        <v>3.744</v>
      </c>
      <c r="P26" s="43">
        <f t="shared" si="6"/>
        <v>2.7212</v>
      </c>
      <c r="Q26" s="51">
        <f t="shared" si="7"/>
        <v>2.69383333333333</v>
      </c>
    </row>
    <row r="27" spans="1:17">
      <c r="A27" s="18" t="s">
        <v>38</v>
      </c>
      <c r="B27" s="19" t="s">
        <v>39</v>
      </c>
      <c r="C27" s="19" t="s">
        <v>41</v>
      </c>
      <c r="D27" s="20">
        <v>44294</v>
      </c>
      <c r="E27" s="21">
        <v>12</v>
      </c>
      <c r="F27" s="18">
        <v>290</v>
      </c>
      <c r="G27" s="19">
        <v>0</v>
      </c>
      <c r="H27" s="19">
        <v>50</v>
      </c>
      <c r="I27" s="37">
        <v>340</v>
      </c>
      <c r="J27" s="38">
        <v>199.19</v>
      </c>
      <c r="K27" s="39">
        <v>0.06</v>
      </c>
      <c r="L27" s="40">
        <v>3.88</v>
      </c>
      <c r="M27" s="41">
        <v>203.13</v>
      </c>
      <c r="N27" s="42">
        <f t="shared" si="4"/>
        <v>0.686862068965517</v>
      </c>
      <c r="O27" s="43"/>
      <c r="P27" s="43">
        <f t="shared" si="6"/>
        <v>0.0776</v>
      </c>
      <c r="Q27" s="51">
        <f t="shared" si="7"/>
        <v>0.597441176470588</v>
      </c>
    </row>
    <row r="28" spans="1:17">
      <c r="A28" s="18" t="s">
        <v>38</v>
      </c>
      <c r="B28" s="19" t="s">
        <v>39</v>
      </c>
      <c r="C28" s="19" t="s">
        <v>42</v>
      </c>
      <c r="D28" s="20">
        <v>44958</v>
      </c>
      <c r="E28" s="21">
        <v>12</v>
      </c>
      <c r="F28" s="18">
        <v>290</v>
      </c>
      <c r="G28" s="19">
        <v>0</v>
      </c>
      <c r="H28" s="19">
        <v>50</v>
      </c>
      <c r="I28" s="37">
        <v>340</v>
      </c>
      <c r="J28" s="38">
        <v>410.75</v>
      </c>
      <c r="K28" s="39">
        <v>0.33</v>
      </c>
      <c r="L28" s="40">
        <v>8.44</v>
      </c>
      <c r="M28" s="41">
        <v>419.52</v>
      </c>
      <c r="N28" s="42">
        <f t="shared" si="4"/>
        <v>1.41637931034483</v>
      </c>
      <c r="O28" s="43"/>
      <c r="P28" s="43">
        <f t="shared" si="6"/>
        <v>0.1688</v>
      </c>
      <c r="Q28" s="51">
        <f t="shared" si="7"/>
        <v>1.23388235294118</v>
      </c>
    </row>
    <row r="29" spans="1:17">
      <c r="A29" s="18" t="s">
        <v>38</v>
      </c>
      <c r="B29" s="19" t="s">
        <v>39</v>
      </c>
      <c r="C29" s="19" t="s">
        <v>43</v>
      </c>
      <c r="D29" s="20">
        <v>45383</v>
      </c>
      <c r="E29" s="21">
        <v>12</v>
      </c>
      <c r="F29" s="18">
        <v>20</v>
      </c>
      <c r="G29" s="19">
        <v>170</v>
      </c>
      <c r="H29" s="19">
        <v>0</v>
      </c>
      <c r="I29" s="37">
        <v>190</v>
      </c>
      <c r="J29" s="38">
        <v>0.19</v>
      </c>
      <c r="K29" s="39">
        <v>191.12</v>
      </c>
      <c r="L29" s="40">
        <v>0.38</v>
      </c>
      <c r="M29" s="41">
        <v>191.69</v>
      </c>
      <c r="N29" s="42">
        <f t="shared" si="4"/>
        <v>0.0095</v>
      </c>
      <c r="O29" s="43">
        <f t="shared" si="5"/>
        <v>1.12423529411765</v>
      </c>
      <c r="P29" s="43"/>
      <c r="Q29" s="51">
        <f t="shared" si="7"/>
        <v>1.00889473684211</v>
      </c>
    </row>
    <row r="30" spans="1:17">
      <c r="A30" s="18" t="s">
        <v>38</v>
      </c>
      <c r="B30" s="19" t="s">
        <v>39</v>
      </c>
      <c r="C30" s="19" t="s">
        <v>44</v>
      </c>
      <c r="D30" s="20">
        <v>45768</v>
      </c>
      <c r="E30" s="21">
        <v>8.38356164383562</v>
      </c>
      <c r="F30" s="22"/>
      <c r="G30" s="23"/>
      <c r="H30" s="23"/>
      <c r="I30" s="37">
        <v>140</v>
      </c>
      <c r="J30" s="38">
        <v>0</v>
      </c>
      <c r="K30" s="39">
        <v>75.11</v>
      </c>
      <c r="L30" s="40">
        <v>27.8</v>
      </c>
      <c r="M30" s="41">
        <v>102.91</v>
      </c>
      <c r="N30" s="42"/>
      <c r="O30" s="43"/>
      <c r="P30" s="43"/>
      <c r="Q30" s="51">
        <f t="shared" si="7"/>
        <v>1.05216106442577</v>
      </c>
    </row>
    <row r="31" spans="1:17">
      <c r="A31" s="18" t="s">
        <v>38</v>
      </c>
      <c r="B31" s="19" t="s">
        <v>39</v>
      </c>
      <c r="C31" s="19" t="s">
        <v>45</v>
      </c>
      <c r="D31" s="20">
        <v>45827</v>
      </c>
      <c r="E31" s="21">
        <v>6.44383561643836</v>
      </c>
      <c r="F31" s="22"/>
      <c r="G31" s="23"/>
      <c r="H31" s="23"/>
      <c r="I31" s="37">
        <v>240</v>
      </c>
      <c r="J31" s="38">
        <v>0</v>
      </c>
      <c r="K31" s="39">
        <v>32.05</v>
      </c>
      <c r="L31" s="40">
        <v>5.41</v>
      </c>
      <c r="M31" s="41">
        <v>37.46</v>
      </c>
      <c r="N31" s="42"/>
      <c r="O31" s="43"/>
      <c r="P31" s="43"/>
      <c r="Q31" s="51">
        <f t="shared" si="7"/>
        <v>0.290665391156463</v>
      </c>
    </row>
    <row r="32" spans="1:17">
      <c r="A32" s="24" t="s">
        <v>38</v>
      </c>
      <c r="B32" s="25" t="s">
        <v>46</v>
      </c>
      <c r="C32" s="26"/>
      <c r="D32" s="26"/>
      <c r="E32" s="27">
        <v>12</v>
      </c>
      <c r="F32" s="28">
        <v>620</v>
      </c>
      <c r="G32" s="26">
        <v>220</v>
      </c>
      <c r="H32" s="26">
        <v>150</v>
      </c>
      <c r="I32" s="27">
        <v>990</v>
      </c>
      <c r="J32" s="44">
        <v>610.35</v>
      </c>
      <c r="K32" s="45">
        <v>486.46</v>
      </c>
      <c r="L32" s="46">
        <v>185.6</v>
      </c>
      <c r="M32" s="47">
        <v>1282.41</v>
      </c>
      <c r="N32" s="48">
        <f t="shared" si="4"/>
        <v>0.984435483870968</v>
      </c>
      <c r="O32" s="49">
        <f t="shared" si="5"/>
        <v>2.21118181818182</v>
      </c>
      <c r="P32" s="49">
        <f t="shared" si="6"/>
        <v>1.23733333333333</v>
      </c>
      <c r="Q32" s="52">
        <f t="shared" si="7"/>
        <v>1.29536363636364</v>
      </c>
    </row>
    <row r="33" spans="1:17">
      <c r="A33" s="18" t="s">
        <v>38</v>
      </c>
      <c r="B33" s="19" t="s">
        <v>47</v>
      </c>
      <c r="C33" s="19" t="s">
        <v>48</v>
      </c>
      <c r="D33" s="20">
        <v>44718</v>
      </c>
      <c r="E33" s="21">
        <v>12</v>
      </c>
      <c r="F33" s="18">
        <v>40</v>
      </c>
      <c r="G33" s="19">
        <v>40</v>
      </c>
      <c r="H33" s="19">
        <v>20</v>
      </c>
      <c r="I33" s="37">
        <v>100</v>
      </c>
      <c r="J33" s="38">
        <v>10.93</v>
      </c>
      <c r="K33" s="39">
        <v>38.03</v>
      </c>
      <c r="L33" s="40">
        <v>44.39</v>
      </c>
      <c r="M33" s="41">
        <v>93.35</v>
      </c>
      <c r="N33" s="42">
        <f t="shared" si="4"/>
        <v>0.27325</v>
      </c>
      <c r="O33" s="43">
        <f t="shared" si="5"/>
        <v>0.95075</v>
      </c>
      <c r="P33" s="43">
        <f t="shared" si="6"/>
        <v>2.2195</v>
      </c>
      <c r="Q33" s="51">
        <f t="shared" si="7"/>
        <v>0.9335</v>
      </c>
    </row>
    <row r="34" spans="1:17">
      <c r="A34" s="18" t="s">
        <v>38</v>
      </c>
      <c r="B34" s="19" t="s">
        <v>47</v>
      </c>
      <c r="C34" s="19" t="s">
        <v>49</v>
      </c>
      <c r="D34" s="20">
        <v>45169</v>
      </c>
      <c r="E34" s="21">
        <v>12</v>
      </c>
      <c r="F34" s="18">
        <v>250</v>
      </c>
      <c r="G34" s="19">
        <v>5</v>
      </c>
      <c r="H34" s="19">
        <v>95</v>
      </c>
      <c r="I34" s="37">
        <v>350</v>
      </c>
      <c r="J34" s="38">
        <v>230.26</v>
      </c>
      <c r="K34" s="39">
        <v>5</v>
      </c>
      <c r="L34" s="40">
        <v>110.77</v>
      </c>
      <c r="M34" s="41">
        <v>346.03</v>
      </c>
      <c r="N34" s="42">
        <f t="shared" si="4"/>
        <v>0.92104</v>
      </c>
      <c r="O34" s="43">
        <f t="shared" si="5"/>
        <v>1</v>
      </c>
      <c r="P34" s="43">
        <f t="shared" si="6"/>
        <v>1.166</v>
      </c>
      <c r="Q34" s="51">
        <f t="shared" si="7"/>
        <v>0.988657142857143</v>
      </c>
    </row>
    <row r="35" spans="1:17">
      <c r="A35" s="18" t="s">
        <v>38</v>
      </c>
      <c r="B35" s="19" t="s">
        <v>47</v>
      </c>
      <c r="C35" s="19" t="s">
        <v>50</v>
      </c>
      <c r="D35" s="20">
        <v>44971</v>
      </c>
      <c r="E35" s="21">
        <v>12</v>
      </c>
      <c r="F35" s="18">
        <v>30</v>
      </c>
      <c r="G35" s="19">
        <v>20</v>
      </c>
      <c r="H35" s="19">
        <v>100</v>
      </c>
      <c r="I35" s="37">
        <v>150</v>
      </c>
      <c r="J35" s="38">
        <v>50.22</v>
      </c>
      <c r="K35" s="39">
        <v>28.98</v>
      </c>
      <c r="L35" s="40">
        <v>50.75</v>
      </c>
      <c r="M35" s="41">
        <v>129.95</v>
      </c>
      <c r="N35" s="42">
        <f t="shared" si="4"/>
        <v>1.674</v>
      </c>
      <c r="O35" s="43">
        <f t="shared" si="5"/>
        <v>1.449</v>
      </c>
      <c r="P35" s="43">
        <f t="shared" si="6"/>
        <v>0.5075</v>
      </c>
      <c r="Q35" s="51">
        <f t="shared" si="7"/>
        <v>0.866333333333333</v>
      </c>
    </row>
    <row r="36" spans="1:17">
      <c r="A36" s="18" t="s">
        <v>38</v>
      </c>
      <c r="B36" s="19" t="s">
        <v>47</v>
      </c>
      <c r="C36" s="19" t="s">
        <v>51</v>
      </c>
      <c r="D36" s="20">
        <v>45222</v>
      </c>
      <c r="E36" s="21">
        <v>12</v>
      </c>
      <c r="F36" s="18">
        <v>0</v>
      </c>
      <c r="G36" s="19">
        <v>0</v>
      </c>
      <c r="H36" s="19">
        <v>220</v>
      </c>
      <c r="I36" s="37">
        <v>220</v>
      </c>
      <c r="J36" s="38">
        <v>0</v>
      </c>
      <c r="K36" s="39">
        <v>0</v>
      </c>
      <c r="L36" s="40">
        <v>216.99</v>
      </c>
      <c r="M36" s="41">
        <v>216.99</v>
      </c>
      <c r="N36" s="42"/>
      <c r="O36" s="43"/>
      <c r="P36" s="43">
        <f t="shared" si="6"/>
        <v>0.986318181818182</v>
      </c>
      <c r="Q36" s="51">
        <f t="shared" si="7"/>
        <v>0.986318181818182</v>
      </c>
    </row>
    <row r="37" spans="1:17">
      <c r="A37" s="24" t="s">
        <v>38</v>
      </c>
      <c r="B37" s="25" t="s">
        <v>52</v>
      </c>
      <c r="C37" s="26"/>
      <c r="D37" s="26"/>
      <c r="E37" s="27">
        <v>12</v>
      </c>
      <c r="F37" s="28">
        <v>420</v>
      </c>
      <c r="G37" s="26">
        <v>65</v>
      </c>
      <c r="H37" s="26">
        <v>215</v>
      </c>
      <c r="I37" s="27">
        <v>700</v>
      </c>
      <c r="J37" s="44">
        <v>294.06</v>
      </c>
      <c r="K37" s="45">
        <v>72.69</v>
      </c>
      <c r="L37" s="46">
        <v>348.16</v>
      </c>
      <c r="M37" s="47">
        <v>714.91</v>
      </c>
      <c r="N37" s="48">
        <f t="shared" si="4"/>
        <v>0.700142857142857</v>
      </c>
      <c r="O37" s="49">
        <f t="shared" si="5"/>
        <v>1.11830769230769</v>
      </c>
      <c r="P37" s="49">
        <f t="shared" si="6"/>
        <v>1.6193488372093</v>
      </c>
      <c r="Q37" s="52">
        <f t="shared" si="7"/>
        <v>1.0213</v>
      </c>
    </row>
    <row r="38" spans="1:17">
      <c r="A38" s="18" t="s">
        <v>38</v>
      </c>
      <c r="B38" s="19" t="s">
        <v>53</v>
      </c>
      <c r="C38" s="19" t="s">
        <v>54</v>
      </c>
      <c r="D38" s="20">
        <v>45041</v>
      </c>
      <c r="E38" s="21">
        <v>12</v>
      </c>
      <c r="F38" s="18">
        <v>20</v>
      </c>
      <c r="G38" s="19">
        <v>35</v>
      </c>
      <c r="H38" s="19">
        <v>95</v>
      </c>
      <c r="I38" s="37">
        <v>150</v>
      </c>
      <c r="J38" s="38">
        <v>4.54</v>
      </c>
      <c r="K38" s="39">
        <v>50.32</v>
      </c>
      <c r="L38" s="40">
        <v>140.66</v>
      </c>
      <c r="M38" s="41">
        <v>195.52</v>
      </c>
      <c r="N38" s="42">
        <f t="shared" si="4"/>
        <v>0.227</v>
      </c>
      <c r="O38" s="43">
        <f t="shared" si="5"/>
        <v>1.43771428571429</v>
      </c>
      <c r="P38" s="43">
        <f t="shared" si="6"/>
        <v>1.48063157894737</v>
      </c>
      <c r="Q38" s="51">
        <f t="shared" si="7"/>
        <v>1.30346666666667</v>
      </c>
    </row>
    <row r="39" spans="1:17">
      <c r="A39" s="18" t="s">
        <v>38</v>
      </c>
      <c r="B39" s="19" t="s">
        <v>53</v>
      </c>
      <c r="C39" s="19" t="s">
        <v>55</v>
      </c>
      <c r="D39" s="20">
        <v>43327</v>
      </c>
      <c r="E39" s="21">
        <v>12</v>
      </c>
      <c r="F39" s="18">
        <v>70</v>
      </c>
      <c r="G39" s="19">
        <v>40</v>
      </c>
      <c r="H39" s="19">
        <v>40</v>
      </c>
      <c r="I39" s="37">
        <v>150</v>
      </c>
      <c r="J39" s="38">
        <v>19.16</v>
      </c>
      <c r="K39" s="39">
        <v>55.4</v>
      </c>
      <c r="L39" s="40">
        <v>196.34</v>
      </c>
      <c r="M39" s="41">
        <v>270.9</v>
      </c>
      <c r="N39" s="42">
        <f t="shared" si="4"/>
        <v>0.273714285714286</v>
      </c>
      <c r="O39" s="43">
        <f t="shared" si="5"/>
        <v>1.385</v>
      </c>
      <c r="P39" s="43">
        <f t="shared" si="6"/>
        <v>4.9085</v>
      </c>
      <c r="Q39" s="51">
        <f t="shared" si="7"/>
        <v>1.806</v>
      </c>
    </row>
    <row r="40" spans="1:17">
      <c r="A40" s="18" t="s">
        <v>38</v>
      </c>
      <c r="B40" s="19" t="s">
        <v>53</v>
      </c>
      <c r="C40" s="19" t="s">
        <v>56</v>
      </c>
      <c r="D40" s="20">
        <v>45667</v>
      </c>
      <c r="E40" s="21">
        <v>11.7041095890411</v>
      </c>
      <c r="F40" s="18">
        <v>170</v>
      </c>
      <c r="G40" s="19">
        <v>0</v>
      </c>
      <c r="H40" s="19">
        <v>0</v>
      </c>
      <c r="I40" s="37">
        <v>170</v>
      </c>
      <c r="J40" s="38">
        <v>24.64</v>
      </c>
      <c r="K40" s="39">
        <v>0</v>
      </c>
      <c r="L40" s="40">
        <v>140.4</v>
      </c>
      <c r="M40" s="41">
        <v>165.04</v>
      </c>
      <c r="N40" s="42">
        <f t="shared" si="4"/>
        <v>0.148605419695968</v>
      </c>
      <c r="O40" s="43"/>
      <c r="P40" s="43"/>
      <c r="Q40" s="51">
        <f t="shared" si="7"/>
        <v>0.995366820885658</v>
      </c>
    </row>
    <row r="41" spans="1:17">
      <c r="A41" s="24" t="s">
        <v>38</v>
      </c>
      <c r="B41" s="25" t="s">
        <v>57</v>
      </c>
      <c r="C41" s="26"/>
      <c r="D41" s="26"/>
      <c r="E41" s="27">
        <v>12</v>
      </c>
      <c r="F41" s="28">
        <v>260</v>
      </c>
      <c r="G41" s="26">
        <v>195</v>
      </c>
      <c r="H41" s="26">
        <v>245</v>
      </c>
      <c r="I41" s="27">
        <v>700</v>
      </c>
      <c r="J41" s="44">
        <v>51.78</v>
      </c>
      <c r="K41" s="45">
        <v>157.8</v>
      </c>
      <c r="L41" s="46">
        <v>498.92</v>
      </c>
      <c r="M41" s="47">
        <v>708.5</v>
      </c>
      <c r="N41" s="48">
        <f t="shared" si="4"/>
        <v>0.199153846153846</v>
      </c>
      <c r="O41" s="49">
        <f t="shared" si="5"/>
        <v>0.809230769230769</v>
      </c>
      <c r="P41" s="49">
        <f t="shared" si="6"/>
        <v>2.03640816326531</v>
      </c>
      <c r="Q41" s="52">
        <f t="shared" si="7"/>
        <v>1.01214285714286</v>
      </c>
    </row>
    <row r="42" spans="1:17">
      <c r="A42" s="18" t="s">
        <v>38</v>
      </c>
      <c r="B42" s="19"/>
      <c r="C42" s="19" t="s">
        <v>58</v>
      </c>
      <c r="D42" s="20">
        <v>41521</v>
      </c>
      <c r="E42" s="21">
        <v>12</v>
      </c>
      <c r="F42" s="18">
        <v>50</v>
      </c>
      <c r="G42" s="19">
        <v>30</v>
      </c>
      <c r="H42" s="19">
        <v>20</v>
      </c>
      <c r="I42" s="37">
        <v>100</v>
      </c>
      <c r="J42" s="38">
        <v>25.6</v>
      </c>
      <c r="K42" s="39">
        <v>14.17</v>
      </c>
      <c r="L42" s="40">
        <v>46.27</v>
      </c>
      <c r="M42" s="41">
        <v>86.04</v>
      </c>
      <c r="N42" s="42">
        <f t="shared" si="4"/>
        <v>0.512</v>
      </c>
      <c r="O42" s="43">
        <f t="shared" si="5"/>
        <v>0.472333333333333</v>
      </c>
      <c r="P42" s="43">
        <f t="shared" si="6"/>
        <v>2.3135</v>
      </c>
      <c r="Q42" s="51">
        <f t="shared" si="7"/>
        <v>0.8604</v>
      </c>
    </row>
    <row r="43" spans="1:17">
      <c r="A43" s="24" t="s">
        <v>38</v>
      </c>
      <c r="B43" s="26" t="s">
        <v>59</v>
      </c>
      <c r="C43" s="26"/>
      <c r="D43" s="26"/>
      <c r="E43" s="27">
        <v>12</v>
      </c>
      <c r="F43" s="28">
        <v>1280</v>
      </c>
      <c r="G43" s="26">
        <v>510</v>
      </c>
      <c r="H43" s="26">
        <v>700</v>
      </c>
      <c r="I43" s="27">
        <v>2490</v>
      </c>
      <c r="J43" s="44">
        <v>1081.29</v>
      </c>
      <c r="K43" s="45">
        <v>731.71</v>
      </c>
      <c r="L43" s="46">
        <v>1086.19</v>
      </c>
      <c r="M43" s="47">
        <v>2899.19</v>
      </c>
      <c r="N43" s="48">
        <f t="shared" si="4"/>
        <v>0.8447578125</v>
      </c>
      <c r="O43" s="49">
        <f t="shared" si="5"/>
        <v>1.43472549019608</v>
      </c>
      <c r="P43" s="49">
        <f t="shared" si="6"/>
        <v>1.5517</v>
      </c>
      <c r="Q43" s="52">
        <f t="shared" si="7"/>
        <v>1.16433333333333</v>
      </c>
    </row>
    <row r="44" spans="1:17">
      <c r="A44" s="18" t="s">
        <v>60</v>
      </c>
      <c r="B44" s="19" t="s">
        <v>61</v>
      </c>
      <c r="C44" s="19" t="s">
        <v>62</v>
      </c>
      <c r="D44" s="20">
        <v>46001</v>
      </c>
      <c r="E44" s="21">
        <v>0.723287671232877</v>
      </c>
      <c r="F44" s="22"/>
      <c r="G44" s="23"/>
      <c r="H44" s="23"/>
      <c r="I44" s="37">
        <v>105</v>
      </c>
      <c r="J44" s="38">
        <v>0</v>
      </c>
      <c r="K44" s="39">
        <v>0</v>
      </c>
      <c r="L44" s="40">
        <v>0</v>
      </c>
      <c r="M44" s="41">
        <v>0</v>
      </c>
      <c r="N44" s="42"/>
      <c r="O44" s="43"/>
      <c r="P44" s="43"/>
      <c r="Q44" s="51">
        <f t="shared" si="7"/>
        <v>0</v>
      </c>
    </row>
    <row r="45" spans="1:17">
      <c r="A45" s="18" t="s">
        <v>60</v>
      </c>
      <c r="B45" s="19" t="s">
        <v>61</v>
      </c>
      <c r="C45" s="19" t="s">
        <v>63</v>
      </c>
      <c r="D45" s="20">
        <v>46001</v>
      </c>
      <c r="E45" s="21">
        <v>0.723287671232877</v>
      </c>
      <c r="F45" s="22"/>
      <c r="G45" s="23"/>
      <c r="H45" s="23"/>
      <c r="I45" s="37">
        <v>230</v>
      </c>
      <c r="J45" s="38">
        <v>1.02</v>
      </c>
      <c r="K45" s="39">
        <v>0.12</v>
      </c>
      <c r="L45" s="40">
        <v>0.94</v>
      </c>
      <c r="M45" s="41">
        <v>2.08</v>
      </c>
      <c r="N45" s="42"/>
      <c r="O45" s="43"/>
      <c r="P45" s="43"/>
      <c r="Q45" s="51">
        <f t="shared" si="7"/>
        <v>0.1500395256917</v>
      </c>
    </row>
    <row r="46" spans="1:17">
      <c r="A46" s="18" t="s">
        <v>60</v>
      </c>
      <c r="B46" s="19" t="s">
        <v>61</v>
      </c>
      <c r="C46" s="19" t="s">
        <v>64</v>
      </c>
      <c r="D46" s="20">
        <v>46003</v>
      </c>
      <c r="E46" s="21">
        <v>0.657534246575342</v>
      </c>
      <c r="F46" s="22"/>
      <c r="G46" s="23"/>
      <c r="H46" s="23"/>
      <c r="I46" s="37">
        <v>120</v>
      </c>
      <c r="J46" s="38">
        <v>0.01</v>
      </c>
      <c r="K46" s="39">
        <v>0</v>
      </c>
      <c r="L46" s="40">
        <v>0.02</v>
      </c>
      <c r="M46" s="41">
        <v>0.03</v>
      </c>
      <c r="N46" s="42"/>
      <c r="O46" s="43"/>
      <c r="P46" s="43"/>
      <c r="Q46" s="51">
        <f t="shared" si="7"/>
        <v>0.0045625</v>
      </c>
    </row>
    <row r="47" spans="1:17">
      <c r="A47" s="24" t="s">
        <v>60</v>
      </c>
      <c r="B47" s="25" t="s">
        <v>65</v>
      </c>
      <c r="C47" s="26"/>
      <c r="D47" s="26"/>
      <c r="E47" s="27">
        <v>0.72</v>
      </c>
      <c r="F47" s="28"/>
      <c r="G47" s="26"/>
      <c r="H47" s="26"/>
      <c r="I47" s="27">
        <v>500</v>
      </c>
      <c r="J47" s="44">
        <v>1.03</v>
      </c>
      <c r="K47" s="45">
        <v>0.12</v>
      </c>
      <c r="L47" s="46">
        <v>0.96</v>
      </c>
      <c r="M47" s="47">
        <v>2.11</v>
      </c>
      <c r="N47" s="48"/>
      <c r="O47" s="49"/>
      <c r="P47" s="49"/>
      <c r="Q47" s="52">
        <f t="shared" si="7"/>
        <v>0.0703333333333333</v>
      </c>
    </row>
    <row r="48" spans="1:17">
      <c r="A48" s="18" t="s">
        <v>60</v>
      </c>
      <c r="B48" s="19" t="s">
        <v>66</v>
      </c>
      <c r="C48" s="19" t="s">
        <v>67</v>
      </c>
      <c r="D48" s="20">
        <v>40603</v>
      </c>
      <c r="E48" s="21">
        <v>12</v>
      </c>
      <c r="F48" s="18">
        <v>10</v>
      </c>
      <c r="G48" s="19">
        <v>85</v>
      </c>
      <c r="H48" s="19">
        <v>31</v>
      </c>
      <c r="I48" s="37">
        <v>126</v>
      </c>
      <c r="J48" s="38">
        <v>128.55</v>
      </c>
      <c r="K48" s="39">
        <v>32.11</v>
      </c>
      <c r="L48" s="40">
        <v>211.43</v>
      </c>
      <c r="M48" s="41">
        <v>372.09</v>
      </c>
      <c r="N48" s="42">
        <f t="shared" si="4"/>
        <v>12.855</v>
      </c>
      <c r="O48" s="43">
        <f t="shared" si="5"/>
        <v>0.377764705882353</v>
      </c>
      <c r="P48" s="43">
        <f t="shared" si="6"/>
        <v>6.82032258064516</v>
      </c>
      <c r="Q48" s="51">
        <f t="shared" si="7"/>
        <v>2.95309523809524</v>
      </c>
    </row>
    <row r="49" spans="1:17">
      <c r="A49" s="18" t="s">
        <v>60</v>
      </c>
      <c r="B49" s="19" t="s">
        <v>66</v>
      </c>
      <c r="C49" s="19" t="s">
        <v>68</v>
      </c>
      <c r="D49" s="20">
        <v>41513</v>
      </c>
      <c r="E49" s="21">
        <v>12</v>
      </c>
      <c r="F49" s="18">
        <v>120</v>
      </c>
      <c r="G49" s="19">
        <v>25</v>
      </c>
      <c r="H49" s="19">
        <v>10</v>
      </c>
      <c r="I49" s="37">
        <v>155</v>
      </c>
      <c r="J49" s="38">
        <v>167.04</v>
      </c>
      <c r="K49" s="39">
        <v>30.14</v>
      </c>
      <c r="L49" s="40">
        <v>126.63</v>
      </c>
      <c r="M49" s="41">
        <v>323.81</v>
      </c>
      <c r="N49" s="42">
        <f t="shared" si="4"/>
        <v>1.392</v>
      </c>
      <c r="O49" s="43">
        <f t="shared" si="5"/>
        <v>1.2056</v>
      </c>
      <c r="P49" s="43">
        <f t="shared" si="6"/>
        <v>12.663</v>
      </c>
      <c r="Q49" s="51">
        <f t="shared" si="7"/>
        <v>2.08909677419355</v>
      </c>
    </row>
    <row r="50" spans="1:17">
      <c r="A50" s="18" t="s">
        <v>60</v>
      </c>
      <c r="B50" s="19" t="s">
        <v>66</v>
      </c>
      <c r="C50" s="19" t="s">
        <v>69</v>
      </c>
      <c r="D50" s="20">
        <v>41513</v>
      </c>
      <c r="E50" s="21">
        <v>12</v>
      </c>
      <c r="F50" s="18">
        <v>225</v>
      </c>
      <c r="G50" s="19">
        <v>0</v>
      </c>
      <c r="H50" s="19">
        <v>10</v>
      </c>
      <c r="I50" s="37">
        <v>235</v>
      </c>
      <c r="J50" s="38">
        <v>209.16</v>
      </c>
      <c r="K50" s="39">
        <v>11.27</v>
      </c>
      <c r="L50" s="40">
        <v>23.78</v>
      </c>
      <c r="M50" s="41">
        <v>244.21</v>
      </c>
      <c r="N50" s="42">
        <f t="shared" si="4"/>
        <v>0.9296</v>
      </c>
      <c r="O50" s="43"/>
      <c r="P50" s="43">
        <f t="shared" si="6"/>
        <v>2.378</v>
      </c>
      <c r="Q50" s="51">
        <f t="shared" si="7"/>
        <v>1.0391914893617</v>
      </c>
    </row>
    <row r="51" spans="1:17">
      <c r="A51" s="18" t="s">
        <v>60</v>
      </c>
      <c r="B51" s="19" t="s">
        <v>66</v>
      </c>
      <c r="C51" s="19" t="s">
        <v>70</v>
      </c>
      <c r="D51" s="20">
        <v>43949</v>
      </c>
      <c r="E51" s="21">
        <v>12</v>
      </c>
      <c r="F51" s="18">
        <v>80</v>
      </c>
      <c r="G51" s="19">
        <v>20</v>
      </c>
      <c r="H51" s="19">
        <v>10</v>
      </c>
      <c r="I51" s="37">
        <v>110</v>
      </c>
      <c r="J51" s="38">
        <v>94.65</v>
      </c>
      <c r="K51" s="39">
        <v>16.23</v>
      </c>
      <c r="L51" s="40">
        <v>64.49</v>
      </c>
      <c r="M51" s="41">
        <v>175.37</v>
      </c>
      <c r="N51" s="42">
        <f t="shared" si="4"/>
        <v>1.183125</v>
      </c>
      <c r="O51" s="43">
        <f t="shared" si="5"/>
        <v>0.8115</v>
      </c>
      <c r="P51" s="43">
        <f t="shared" si="6"/>
        <v>6.449</v>
      </c>
      <c r="Q51" s="51">
        <f t="shared" si="7"/>
        <v>1.59427272727273</v>
      </c>
    </row>
    <row r="52" spans="1:17">
      <c r="A52" s="18" t="s">
        <v>60</v>
      </c>
      <c r="B52" s="19" t="s">
        <v>66</v>
      </c>
      <c r="C52" s="19" t="s">
        <v>71</v>
      </c>
      <c r="D52" s="20">
        <v>44263</v>
      </c>
      <c r="E52" s="21">
        <v>12</v>
      </c>
      <c r="F52" s="18">
        <v>76</v>
      </c>
      <c r="G52" s="19">
        <v>10</v>
      </c>
      <c r="H52" s="19">
        <v>5</v>
      </c>
      <c r="I52" s="37">
        <v>91</v>
      </c>
      <c r="J52" s="38">
        <v>89.31</v>
      </c>
      <c r="K52" s="39">
        <v>4.73</v>
      </c>
      <c r="L52" s="40">
        <v>54.95</v>
      </c>
      <c r="M52" s="41">
        <v>148.99</v>
      </c>
      <c r="N52" s="42">
        <f t="shared" si="4"/>
        <v>1.17513157894737</v>
      </c>
      <c r="O52" s="43">
        <f t="shared" si="5"/>
        <v>0.473</v>
      </c>
      <c r="P52" s="43">
        <f t="shared" si="6"/>
        <v>10.99</v>
      </c>
      <c r="Q52" s="51">
        <f t="shared" si="7"/>
        <v>1.63725274725275</v>
      </c>
    </row>
    <row r="53" spans="1:17">
      <c r="A53" s="24" t="s">
        <v>60</v>
      </c>
      <c r="B53" s="25" t="s">
        <v>72</v>
      </c>
      <c r="C53" s="26"/>
      <c r="D53" s="26"/>
      <c r="E53" s="27">
        <v>12</v>
      </c>
      <c r="F53" s="28">
        <v>511</v>
      </c>
      <c r="G53" s="26">
        <v>140</v>
      </c>
      <c r="H53" s="26">
        <v>66</v>
      </c>
      <c r="I53" s="27">
        <v>717</v>
      </c>
      <c r="J53" s="44">
        <v>688.71</v>
      </c>
      <c r="K53" s="45">
        <v>94.48</v>
      </c>
      <c r="L53" s="46">
        <v>481.27</v>
      </c>
      <c r="M53" s="47">
        <v>1264.46</v>
      </c>
      <c r="N53" s="48">
        <f t="shared" si="4"/>
        <v>1.34776908023483</v>
      </c>
      <c r="O53" s="49">
        <f t="shared" si="5"/>
        <v>0.674857142857143</v>
      </c>
      <c r="P53" s="49">
        <f t="shared" si="6"/>
        <v>7.2919696969697</v>
      </c>
      <c r="Q53" s="52">
        <f t="shared" si="7"/>
        <v>1.76354253835425</v>
      </c>
    </row>
    <row r="54" spans="1:17">
      <c r="A54" s="18" t="s">
        <v>60</v>
      </c>
      <c r="B54" s="19"/>
      <c r="C54" s="19" t="s">
        <v>73</v>
      </c>
      <c r="D54" s="20">
        <v>45660</v>
      </c>
      <c r="E54" s="21">
        <v>11.9342465753425</v>
      </c>
      <c r="F54" s="18">
        <v>333</v>
      </c>
      <c r="G54" s="19">
        <v>0</v>
      </c>
      <c r="H54" s="19">
        <v>0</v>
      </c>
      <c r="I54" s="37">
        <v>333</v>
      </c>
      <c r="J54" s="38">
        <v>1.66</v>
      </c>
      <c r="K54" s="39">
        <v>358.14</v>
      </c>
      <c r="L54" s="40">
        <v>75.54</v>
      </c>
      <c r="M54" s="41">
        <v>435.34</v>
      </c>
      <c r="N54" s="42">
        <f t="shared" si="4"/>
        <v>0.00501245046699592</v>
      </c>
      <c r="O54" s="43"/>
      <c r="P54" s="43"/>
      <c r="Q54" s="51">
        <f t="shared" si="7"/>
        <v>1.31453023271205</v>
      </c>
    </row>
    <row r="55" spans="1:17">
      <c r="A55" s="18" t="s">
        <v>60</v>
      </c>
      <c r="B55" s="19"/>
      <c r="C55" s="19" t="s">
        <v>74</v>
      </c>
      <c r="D55" s="20">
        <v>45607</v>
      </c>
      <c r="E55" s="21">
        <v>12</v>
      </c>
      <c r="F55" s="18">
        <v>135</v>
      </c>
      <c r="G55" s="19">
        <v>0</v>
      </c>
      <c r="H55" s="19">
        <v>15</v>
      </c>
      <c r="I55" s="37">
        <v>150</v>
      </c>
      <c r="J55" s="38">
        <v>22.19</v>
      </c>
      <c r="K55" s="39">
        <v>25.03</v>
      </c>
      <c r="L55" s="40">
        <v>13.83</v>
      </c>
      <c r="M55" s="41">
        <v>61.05</v>
      </c>
      <c r="N55" s="42">
        <f t="shared" si="4"/>
        <v>0.16437037037037</v>
      </c>
      <c r="O55" s="43"/>
      <c r="P55" s="43">
        <f t="shared" si="6"/>
        <v>0.922</v>
      </c>
      <c r="Q55" s="51">
        <f t="shared" si="7"/>
        <v>0.407</v>
      </c>
    </row>
    <row r="56" spans="1:17">
      <c r="A56" s="24" t="s">
        <v>60</v>
      </c>
      <c r="B56" s="26" t="s">
        <v>75</v>
      </c>
      <c r="C56" s="26"/>
      <c r="D56" s="26"/>
      <c r="E56" s="27">
        <v>12</v>
      </c>
      <c r="F56" s="28">
        <v>945</v>
      </c>
      <c r="G56" s="26">
        <v>350</v>
      </c>
      <c r="H56" s="26">
        <v>205</v>
      </c>
      <c r="I56" s="27">
        <v>1500</v>
      </c>
      <c r="J56" s="44">
        <v>790.02</v>
      </c>
      <c r="K56" s="45">
        <v>496.65</v>
      </c>
      <c r="L56" s="46">
        <v>593.97</v>
      </c>
      <c r="M56" s="47">
        <v>1880.64</v>
      </c>
      <c r="N56" s="48">
        <f t="shared" si="4"/>
        <v>0.836</v>
      </c>
      <c r="O56" s="49">
        <f t="shared" si="5"/>
        <v>1.419</v>
      </c>
      <c r="P56" s="49">
        <f t="shared" si="6"/>
        <v>2.89741463414634</v>
      </c>
      <c r="Q56" s="52">
        <f t="shared" si="7"/>
        <v>1.25376</v>
      </c>
    </row>
    <row r="57" spans="1:17">
      <c r="A57" s="18" t="s">
        <v>76</v>
      </c>
      <c r="B57" s="19" t="s">
        <v>77</v>
      </c>
      <c r="C57" s="19" t="s">
        <v>78</v>
      </c>
      <c r="D57" s="20">
        <v>41877</v>
      </c>
      <c r="E57" s="21">
        <v>12</v>
      </c>
      <c r="F57" s="18">
        <v>200</v>
      </c>
      <c r="G57" s="19">
        <v>120</v>
      </c>
      <c r="H57" s="19">
        <v>100</v>
      </c>
      <c r="I57" s="37">
        <v>420</v>
      </c>
      <c r="J57" s="38">
        <v>200.3</v>
      </c>
      <c r="K57" s="39">
        <v>157.12</v>
      </c>
      <c r="L57" s="40">
        <v>127.22</v>
      </c>
      <c r="M57" s="41">
        <v>484.64</v>
      </c>
      <c r="N57" s="42">
        <f t="shared" si="4"/>
        <v>1.0015</v>
      </c>
      <c r="O57" s="43">
        <f t="shared" si="5"/>
        <v>1.30933333333333</v>
      </c>
      <c r="P57" s="43">
        <f t="shared" si="6"/>
        <v>1.2722</v>
      </c>
      <c r="Q57" s="51">
        <f t="shared" si="7"/>
        <v>1.15390476190476</v>
      </c>
    </row>
    <row r="58" spans="1:17">
      <c r="A58" s="18" t="s">
        <v>76</v>
      </c>
      <c r="B58" s="19" t="s">
        <v>77</v>
      </c>
      <c r="C58" s="19" t="s">
        <v>79</v>
      </c>
      <c r="D58" s="20">
        <v>43970</v>
      </c>
      <c r="E58" s="21">
        <v>12</v>
      </c>
      <c r="F58" s="18">
        <v>30</v>
      </c>
      <c r="G58" s="19">
        <v>10</v>
      </c>
      <c r="H58" s="19">
        <v>50</v>
      </c>
      <c r="I58" s="37">
        <v>90</v>
      </c>
      <c r="J58" s="38">
        <v>35.6</v>
      </c>
      <c r="K58" s="39">
        <v>0.04</v>
      </c>
      <c r="L58" s="40">
        <v>95.14</v>
      </c>
      <c r="M58" s="41">
        <v>130.78</v>
      </c>
      <c r="N58" s="42">
        <f t="shared" si="4"/>
        <v>1.18666666666667</v>
      </c>
      <c r="O58" s="43">
        <f t="shared" si="5"/>
        <v>0.004</v>
      </c>
      <c r="P58" s="43">
        <f t="shared" si="6"/>
        <v>1.9028</v>
      </c>
      <c r="Q58" s="51">
        <f t="shared" si="7"/>
        <v>1.45311111111111</v>
      </c>
    </row>
    <row r="59" spans="1:17">
      <c r="A59" s="18" t="s">
        <v>76</v>
      </c>
      <c r="B59" s="19" t="s">
        <v>77</v>
      </c>
      <c r="C59" s="19" t="s">
        <v>80</v>
      </c>
      <c r="D59" s="20">
        <v>44910</v>
      </c>
      <c r="E59" s="21">
        <v>12</v>
      </c>
      <c r="F59" s="18">
        <v>30</v>
      </c>
      <c r="G59" s="19">
        <v>10</v>
      </c>
      <c r="H59" s="19">
        <v>50</v>
      </c>
      <c r="I59" s="37">
        <v>90</v>
      </c>
      <c r="J59" s="38">
        <v>57.78</v>
      </c>
      <c r="K59" s="39">
        <v>0</v>
      </c>
      <c r="L59" s="40">
        <v>102.74</v>
      </c>
      <c r="M59" s="41">
        <v>160.52</v>
      </c>
      <c r="N59" s="42">
        <f t="shared" si="4"/>
        <v>1.926</v>
      </c>
      <c r="O59" s="43">
        <f t="shared" si="5"/>
        <v>0</v>
      </c>
      <c r="P59" s="43">
        <f t="shared" si="6"/>
        <v>2.0548</v>
      </c>
      <c r="Q59" s="51">
        <f t="shared" si="7"/>
        <v>1.78355555555556</v>
      </c>
    </row>
    <row r="60" spans="1:17">
      <c r="A60" s="18" t="s">
        <v>76</v>
      </c>
      <c r="B60" s="19" t="s">
        <v>77</v>
      </c>
      <c r="C60" s="19" t="s">
        <v>81</v>
      </c>
      <c r="D60" s="20">
        <v>43572</v>
      </c>
      <c r="E60" s="21">
        <v>12</v>
      </c>
      <c r="F60" s="18">
        <v>160</v>
      </c>
      <c r="G60" s="19">
        <v>60</v>
      </c>
      <c r="H60" s="19">
        <v>40</v>
      </c>
      <c r="I60" s="37">
        <v>260</v>
      </c>
      <c r="J60" s="38">
        <v>142.56</v>
      </c>
      <c r="K60" s="39">
        <v>137.39</v>
      </c>
      <c r="L60" s="40">
        <v>48.57</v>
      </c>
      <c r="M60" s="41">
        <v>328.52</v>
      </c>
      <c r="N60" s="42">
        <f t="shared" si="4"/>
        <v>0.891</v>
      </c>
      <c r="O60" s="43">
        <f t="shared" si="5"/>
        <v>2.28983333333333</v>
      </c>
      <c r="P60" s="43">
        <f t="shared" si="6"/>
        <v>1.21425</v>
      </c>
      <c r="Q60" s="51">
        <f t="shared" si="7"/>
        <v>1.26353846153846</v>
      </c>
    </row>
    <row r="61" spans="1:17">
      <c r="A61" s="24" t="s">
        <v>76</v>
      </c>
      <c r="B61" s="25" t="s">
        <v>82</v>
      </c>
      <c r="C61" s="26"/>
      <c r="D61" s="26"/>
      <c r="E61" s="27">
        <v>12</v>
      </c>
      <c r="F61" s="28">
        <v>420</v>
      </c>
      <c r="G61" s="26">
        <v>200</v>
      </c>
      <c r="H61" s="26">
        <v>240</v>
      </c>
      <c r="I61" s="27">
        <v>860</v>
      </c>
      <c r="J61" s="44">
        <v>436.24</v>
      </c>
      <c r="K61" s="45">
        <v>294.56</v>
      </c>
      <c r="L61" s="46">
        <v>373.68</v>
      </c>
      <c r="M61" s="47">
        <v>1104.48</v>
      </c>
      <c r="N61" s="48">
        <f t="shared" si="4"/>
        <v>1.03866666666667</v>
      </c>
      <c r="O61" s="49">
        <f t="shared" si="5"/>
        <v>1.4728</v>
      </c>
      <c r="P61" s="49">
        <f t="shared" si="6"/>
        <v>1.557</v>
      </c>
      <c r="Q61" s="52">
        <f t="shared" si="7"/>
        <v>1.28427906976744</v>
      </c>
    </row>
    <row r="62" spans="1:17">
      <c r="A62" s="18" t="s">
        <v>76</v>
      </c>
      <c r="B62" s="19" t="s">
        <v>83</v>
      </c>
      <c r="C62" s="19" t="s">
        <v>84</v>
      </c>
      <c r="D62" s="20">
        <v>44517</v>
      </c>
      <c r="E62" s="21">
        <v>12</v>
      </c>
      <c r="F62" s="18">
        <v>80</v>
      </c>
      <c r="G62" s="19">
        <v>15</v>
      </c>
      <c r="H62" s="19">
        <v>15</v>
      </c>
      <c r="I62" s="37">
        <v>110</v>
      </c>
      <c r="J62" s="38">
        <v>109.83</v>
      </c>
      <c r="K62" s="39">
        <v>4.64</v>
      </c>
      <c r="L62" s="40">
        <v>69.7</v>
      </c>
      <c r="M62" s="41">
        <v>184.17</v>
      </c>
      <c r="N62" s="42">
        <f t="shared" si="4"/>
        <v>1.372875</v>
      </c>
      <c r="O62" s="43">
        <f t="shared" si="5"/>
        <v>0.309333333333333</v>
      </c>
      <c r="P62" s="43">
        <f t="shared" si="6"/>
        <v>4.64666666666667</v>
      </c>
      <c r="Q62" s="51">
        <f t="shared" si="7"/>
        <v>1.67427272727273</v>
      </c>
    </row>
    <row r="63" spans="1:17">
      <c r="A63" s="18" t="s">
        <v>76</v>
      </c>
      <c r="B63" s="19" t="s">
        <v>83</v>
      </c>
      <c r="C63" s="19" t="s">
        <v>85</v>
      </c>
      <c r="D63" s="20">
        <v>44602</v>
      </c>
      <c r="E63" s="21">
        <v>12</v>
      </c>
      <c r="F63" s="18">
        <v>200</v>
      </c>
      <c r="G63" s="19">
        <v>30</v>
      </c>
      <c r="H63" s="19">
        <v>30</v>
      </c>
      <c r="I63" s="37">
        <v>260</v>
      </c>
      <c r="J63" s="38">
        <v>281.48</v>
      </c>
      <c r="K63" s="39">
        <v>1.24</v>
      </c>
      <c r="L63" s="40">
        <v>42.04</v>
      </c>
      <c r="M63" s="41">
        <v>324.76</v>
      </c>
      <c r="N63" s="42">
        <f t="shared" si="4"/>
        <v>1.4074</v>
      </c>
      <c r="O63" s="43">
        <f t="shared" si="5"/>
        <v>0.0413333333333333</v>
      </c>
      <c r="P63" s="43">
        <f t="shared" si="6"/>
        <v>1.40133333333333</v>
      </c>
      <c r="Q63" s="51">
        <f t="shared" si="7"/>
        <v>1.24907692307692</v>
      </c>
    </row>
    <row r="64" spans="1:17">
      <c r="A64" s="24" t="s">
        <v>76</v>
      </c>
      <c r="B64" s="25" t="s">
        <v>86</v>
      </c>
      <c r="C64" s="26"/>
      <c r="D64" s="26"/>
      <c r="E64" s="27">
        <v>12</v>
      </c>
      <c r="F64" s="28">
        <v>420</v>
      </c>
      <c r="G64" s="26">
        <v>75</v>
      </c>
      <c r="H64" s="26">
        <v>75</v>
      </c>
      <c r="I64" s="27">
        <v>570</v>
      </c>
      <c r="J64" s="44">
        <v>449.75</v>
      </c>
      <c r="K64" s="45">
        <v>7.94</v>
      </c>
      <c r="L64" s="46">
        <v>157.16</v>
      </c>
      <c r="M64" s="47">
        <v>614.85</v>
      </c>
      <c r="N64" s="48">
        <f t="shared" si="4"/>
        <v>1.07083333333333</v>
      </c>
      <c r="O64" s="49">
        <f t="shared" si="5"/>
        <v>0.105866666666667</v>
      </c>
      <c r="P64" s="49">
        <f t="shared" si="6"/>
        <v>2.09546666666667</v>
      </c>
      <c r="Q64" s="52">
        <f t="shared" si="7"/>
        <v>1.07868421052632</v>
      </c>
    </row>
    <row r="65" spans="1:17">
      <c r="A65" s="18" t="s">
        <v>76</v>
      </c>
      <c r="B65" s="19" t="s">
        <v>87</v>
      </c>
      <c r="C65" s="19" t="s">
        <v>88</v>
      </c>
      <c r="D65" s="20">
        <v>41458</v>
      </c>
      <c r="E65" s="21">
        <v>12</v>
      </c>
      <c r="F65" s="18">
        <v>15</v>
      </c>
      <c r="G65" s="19">
        <v>95</v>
      </c>
      <c r="H65" s="19">
        <v>50</v>
      </c>
      <c r="I65" s="37">
        <v>160</v>
      </c>
      <c r="J65" s="38">
        <v>14.55</v>
      </c>
      <c r="K65" s="39">
        <v>54.58</v>
      </c>
      <c r="L65" s="40">
        <v>38.62</v>
      </c>
      <c r="M65" s="41">
        <v>107.75</v>
      </c>
      <c r="N65" s="42">
        <f t="shared" si="4"/>
        <v>0.97</v>
      </c>
      <c r="O65" s="43">
        <f t="shared" si="5"/>
        <v>0.574526315789474</v>
      </c>
      <c r="P65" s="43">
        <f t="shared" si="6"/>
        <v>0.7724</v>
      </c>
      <c r="Q65" s="51">
        <f t="shared" si="7"/>
        <v>0.6734375</v>
      </c>
    </row>
    <row r="66" spans="1:17">
      <c r="A66" s="18" t="s">
        <v>76</v>
      </c>
      <c r="B66" s="19" t="s">
        <v>87</v>
      </c>
      <c r="C66" s="19" t="s">
        <v>89</v>
      </c>
      <c r="D66" s="20">
        <v>43307</v>
      </c>
      <c r="E66" s="21">
        <v>12</v>
      </c>
      <c r="F66" s="18">
        <v>120</v>
      </c>
      <c r="G66" s="19">
        <v>40</v>
      </c>
      <c r="H66" s="19">
        <v>40</v>
      </c>
      <c r="I66" s="37">
        <v>200</v>
      </c>
      <c r="J66" s="38">
        <v>70.03</v>
      </c>
      <c r="K66" s="39">
        <v>33.27</v>
      </c>
      <c r="L66" s="40">
        <v>24.9</v>
      </c>
      <c r="M66" s="41">
        <v>128.2</v>
      </c>
      <c r="N66" s="42">
        <f t="shared" si="4"/>
        <v>0.583583333333333</v>
      </c>
      <c r="O66" s="43">
        <f t="shared" si="5"/>
        <v>0.83175</v>
      </c>
      <c r="P66" s="43">
        <f t="shared" si="6"/>
        <v>0.6225</v>
      </c>
      <c r="Q66" s="51">
        <f t="shared" si="7"/>
        <v>0.641</v>
      </c>
    </row>
    <row r="67" spans="1:17">
      <c r="A67" s="18" t="s">
        <v>76</v>
      </c>
      <c r="B67" s="19" t="s">
        <v>87</v>
      </c>
      <c r="C67" s="19" t="s">
        <v>90</v>
      </c>
      <c r="D67" s="20">
        <v>45527</v>
      </c>
      <c r="E67" s="21">
        <v>12</v>
      </c>
      <c r="F67" s="18">
        <v>100</v>
      </c>
      <c r="G67" s="19">
        <v>50</v>
      </c>
      <c r="H67" s="19">
        <v>20</v>
      </c>
      <c r="I67" s="37">
        <v>170</v>
      </c>
      <c r="J67" s="38">
        <v>113.03</v>
      </c>
      <c r="K67" s="39">
        <v>58.19</v>
      </c>
      <c r="L67" s="40">
        <v>59.43</v>
      </c>
      <c r="M67" s="41">
        <v>230.65</v>
      </c>
      <c r="N67" s="42">
        <f t="shared" si="4"/>
        <v>1.1303</v>
      </c>
      <c r="O67" s="43">
        <f t="shared" si="5"/>
        <v>1.1638</v>
      </c>
      <c r="P67" s="43">
        <f t="shared" si="6"/>
        <v>2.9715</v>
      </c>
      <c r="Q67" s="51">
        <f t="shared" si="7"/>
        <v>1.35676470588235</v>
      </c>
    </row>
    <row r="68" spans="1:17">
      <c r="A68" s="18" t="s">
        <v>76</v>
      </c>
      <c r="B68" s="19" t="s">
        <v>87</v>
      </c>
      <c r="C68" s="19" t="s">
        <v>91</v>
      </c>
      <c r="D68" s="20">
        <v>45748</v>
      </c>
      <c r="E68" s="21">
        <v>9.04109589041096</v>
      </c>
      <c r="F68" s="22"/>
      <c r="G68" s="23"/>
      <c r="H68" s="23"/>
      <c r="I68" s="37">
        <v>120</v>
      </c>
      <c r="J68" s="38">
        <v>31.69</v>
      </c>
      <c r="K68" s="39">
        <v>4.84</v>
      </c>
      <c r="L68" s="40">
        <v>31.95</v>
      </c>
      <c r="M68" s="41">
        <v>68.48</v>
      </c>
      <c r="N68" s="42"/>
      <c r="O68" s="43"/>
      <c r="P68" s="43"/>
      <c r="Q68" s="51">
        <f t="shared" si="7"/>
        <v>0.757430303030303</v>
      </c>
    </row>
    <row r="69" spans="1:17">
      <c r="A69" s="24" t="s">
        <v>76</v>
      </c>
      <c r="B69" s="25" t="s">
        <v>92</v>
      </c>
      <c r="C69" s="26"/>
      <c r="D69" s="26"/>
      <c r="E69" s="27">
        <v>12</v>
      </c>
      <c r="F69" s="28">
        <v>235</v>
      </c>
      <c r="G69" s="26">
        <v>185</v>
      </c>
      <c r="H69" s="26">
        <v>110</v>
      </c>
      <c r="I69" s="27">
        <v>530</v>
      </c>
      <c r="J69" s="44">
        <v>229.13</v>
      </c>
      <c r="K69" s="45">
        <v>150.88</v>
      </c>
      <c r="L69" s="46">
        <v>154.9</v>
      </c>
      <c r="M69" s="47">
        <v>534.91</v>
      </c>
      <c r="N69" s="48">
        <f t="shared" si="4"/>
        <v>0.975021276595745</v>
      </c>
      <c r="O69" s="49">
        <f t="shared" si="5"/>
        <v>0.815567567567568</v>
      </c>
      <c r="P69" s="49">
        <f t="shared" si="6"/>
        <v>1.40818181818182</v>
      </c>
      <c r="Q69" s="52">
        <f t="shared" si="7"/>
        <v>1.0092641509434</v>
      </c>
    </row>
    <row r="70" spans="1:17">
      <c r="A70" s="24" t="s">
        <v>76</v>
      </c>
      <c r="B70" s="26" t="s">
        <v>93</v>
      </c>
      <c r="C70" s="26"/>
      <c r="D70" s="26"/>
      <c r="E70" s="27">
        <v>12</v>
      </c>
      <c r="F70" s="28">
        <v>1075</v>
      </c>
      <c r="G70" s="26">
        <v>460</v>
      </c>
      <c r="H70" s="26">
        <v>425</v>
      </c>
      <c r="I70" s="27">
        <v>1960</v>
      </c>
      <c r="J70" s="44">
        <v>1305.17</v>
      </c>
      <c r="K70" s="45">
        <v>453.59</v>
      </c>
      <c r="L70" s="46">
        <v>707.64</v>
      </c>
      <c r="M70" s="47">
        <v>2466.4</v>
      </c>
      <c r="N70" s="48">
        <f t="shared" si="4"/>
        <v>1.21411162790698</v>
      </c>
      <c r="O70" s="49">
        <f t="shared" si="5"/>
        <v>0.986065217391304</v>
      </c>
      <c r="P70" s="49">
        <f t="shared" si="6"/>
        <v>1.66503529411765</v>
      </c>
      <c r="Q70" s="52">
        <f t="shared" si="7"/>
        <v>1.25836734693878</v>
      </c>
    </row>
    <row r="71" spans="1:17">
      <c r="A71" s="18" t="s">
        <v>94</v>
      </c>
      <c r="B71" s="19"/>
      <c r="C71" s="19" t="s">
        <v>95</v>
      </c>
      <c r="D71" s="20">
        <v>45427</v>
      </c>
      <c r="E71" s="21">
        <v>12</v>
      </c>
      <c r="F71" s="18">
        <v>216</v>
      </c>
      <c r="G71" s="19">
        <v>20</v>
      </c>
      <c r="H71" s="19">
        <v>25</v>
      </c>
      <c r="I71" s="37">
        <v>261</v>
      </c>
      <c r="J71" s="38">
        <v>178.67</v>
      </c>
      <c r="K71" s="39">
        <v>0</v>
      </c>
      <c r="L71" s="40">
        <v>3.62</v>
      </c>
      <c r="M71" s="41">
        <v>182.29</v>
      </c>
      <c r="N71" s="42">
        <f t="shared" si="4"/>
        <v>0.827175925925926</v>
      </c>
      <c r="O71" s="43">
        <f t="shared" si="5"/>
        <v>0</v>
      </c>
      <c r="P71" s="43">
        <f t="shared" si="6"/>
        <v>0.1448</v>
      </c>
      <c r="Q71" s="51">
        <f t="shared" si="7"/>
        <v>0.698429118773946</v>
      </c>
    </row>
    <row r="72" spans="1:17">
      <c r="A72" s="18" t="s">
        <v>94</v>
      </c>
      <c r="B72" s="19" t="s">
        <v>96</v>
      </c>
      <c r="C72" s="19" t="s">
        <v>97</v>
      </c>
      <c r="D72" s="20">
        <v>41879</v>
      </c>
      <c r="E72" s="21">
        <v>12</v>
      </c>
      <c r="F72" s="18">
        <v>140</v>
      </c>
      <c r="G72" s="19">
        <v>36</v>
      </c>
      <c r="H72" s="19">
        <v>56</v>
      </c>
      <c r="I72" s="37">
        <v>232</v>
      </c>
      <c r="J72" s="38">
        <v>176.56</v>
      </c>
      <c r="K72" s="39">
        <v>13.09</v>
      </c>
      <c r="L72" s="40">
        <v>75.5</v>
      </c>
      <c r="M72" s="41">
        <v>265.15</v>
      </c>
      <c r="N72" s="42">
        <f t="shared" si="4"/>
        <v>1.26114285714286</v>
      </c>
      <c r="O72" s="43">
        <f t="shared" si="5"/>
        <v>0.363611111111111</v>
      </c>
      <c r="P72" s="43">
        <f t="shared" si="6"/>
        <v>1.34821428571429</v>
      </c>
      <c r="Q72" s="51">
        <f t="shared" si="7"/>
        <v>1.14288793103448</v>
      </c>
    </row>
    <row r="73" spans="1:17">
      <c r="A73" s="18" t="s">
        <v>94</v>
      </c>
      <c r="B73" s="19" t="s">
        <v>96</v>
      </c>
      <c r="C73" s="19" t="s">
        <v>98</v>
      </c>
      <c r="D73" s="20">
        <v>42026</v>
      </c>
      <c r="E73" s="21">
        <v>12</v>
      </c>
      <c r="F73" s="18">
        <v>130</v>
      </c>
      <c r="G73" s="19">
        <v>2</v>
      </c>
      <c r="H73" s="19">
        <v>7</v>
      </c>
      <c r="I73" s="37">
        <v>139</v>
      </c>
      <c r="J73" s="38">
        <v>127.63</v>
      </c>
      <c r="K73" s="39">
        <v>1.04</v>
      </c>
      <c r="L73" s="40">
        <v>11.67</v>
      </c>
      <c r="M73" s="41">
        <v>140.34</v>
      </c>
      <c r="N73" s="42">
        <f t="shared" si="4"/>
        <v>0.981769230769231</v>
      </c>
      <c r="O73" s="43">
        <f t="shared" si="5"/>
        <v>0.52</v>
      </c>
      <c r="P73" s="43">
        <f t="shared" si="6"/>
        <v>1.66714285714286</v>
      </c>
      <c r="Q73" s="51">
        <f t="shared" si="7"/>
        <v>1.00964028776978</v>
      </c>
    </row>
    <row r="74" spans="1:17">
      <c r="A74" s="18" t="s">
        <v>94</v>
      </c>
      <c r="B74" s="19" t="s">
        <v>96</v>
      </c>
      <c r="C74" s="19" t="s">
        <v>99</v>
      </c>
      <c r="D74" s="20">
        <v>42179</v>
      </c>
      <c r="E74" s="21">
        <v>12</v>
      </c>
      <c r="F74" s="18">
        <v>85</v>
      </c>
      <c r="G74" s="19">
        <v>1</v>
      </c>
      <c r="H74" s="19">
        <v>18</v>
      </c>
      <c r="I74" s="37">
        <v>104</v>
      </c>
      <c r="J74" s="38">
        <v>93.94</v>
      </c>
      <c r="K74" s="39">
        <v>0.36</v>
      </c>
      <c r="L74" s="40">
        <v>36.44</v>
      </c>
      <c r="M74" s="41">
        <v>130.74</v>
      </c>
      <c r="N74" s="42">
        <f t="shared" si="4"/>
        <v>1.10517647058824</v>
      </c>
      <c r="O74" s="43">
        <f t="shared" si="5"/>
        <v>0.36</v>
      </c>
      <c r="P74" s="43">
        <f t="shared" si="6"/>
        <v>2.02444444444444</v>
      </c>
      <c r="Q74" s="51">
        <f t="shared" si="7"/>
        <v>1.25711538461538</v>
      </c>
    </row>
    <row r="75" spans="1:17">
      <c r="A75" s="18" t="s">
        <v>94</v>
      </c>
      <c r="B75" s="19" t="s">
        <v>96</v>
      </c>
      <c r="C75" s="19" t="s">
        <v>100</v>
      </c>
      <c r="D75" s="20">
        <v>44323</v>
      </c>
      <c r="E75" s="21">
        <v>12</v>
      </c>
      <c r="F75" s="18">
        <v>15</v>
      </c>
      <c r="G75" s="19">
        <v>125</v>
      </c>
      <c r="H75" s="19">
        <v>110</v>
      </c>
      <c r="I75" s="37">
        <v>250</v>
      </c>
      <c r="J75" s="38">
        <v>13.88</v>
      </c>
      <c r="K75" s="39">
        <v>173.91</v>
      </c>
      <c r="L75" s="40">
        <v>123.36</v>
      </c>
      <c r="M75" s="41">
        <v>311.15</v>
      </c>
      <c r="N75" s="42">
        <f t="shared" si="4"/>
        <v>0.925333333333333</v>
      </c>
      <c r="O75" s="43">
        <f t="shared" si="5"/>
        <v>1.39128</v>
      </c>
      <c r="P75" s="43">
        <f t="shared" si="6"/>
        <v>1.12145454545455</v>
      </c>
      <c r="Q75" s="51">
        <f t="shared" si="7"/>
        <v>1.2446</v>
      </c>
    </row>
    <row r="76" spans="1:17">
      <c r="A76" s="24" t="s">
        <v>94</v>
      </c>
      <c r="B76" s="25" t="s">
        <v>101</v>
      </c>
      <c r="C76" s="26"/>
      <c r="D76" s="26"/>
      <c r="E76" s="27">
        <v>12</v>
      </c>
      <c r="F76" s="28">
        <v>370</v>
      </c>
      <c r="G76" s="26">
        <v>164</v>
      </c>
      <c r="H76" s="26">
        <v>191</v>
      </c>
      <c r="I76" s="27">
        <v>725</v>
      </c>
      <c r="J76" s="44">
        <v>412</v>
      </c>
      <c r="K76" s="45">
        <v>188.28</v>
      </c>
      <c r="L76" s="46">
        <v>246.96</v>
      </c>
      <c r="M76" s="47">
        <v>847.24</v>
      </c>
      <c r="N76" s="48">
        <f t="shared" ref="N76:N139" si="8">J76/$E76*12/F76</f>
        <v>1.11351351351351</v>
      </c>
      <c r="O76" s="49">
        <f t="shared" ref="O76:O139" si="9">K76/$E76*12/G76</f>
        <v>1.1480487804878</v>
      </c>
      <c r="P76" s="49">
        <f t="shared" ref="P76:P139" si="10">L76/$E76*12/H76</f>
        <v>1.29298429319372</v>
      </c>
      <c r="Q76" s="52">
        <f t="shared" ref="Q76:Q139" si="11">M76/$E76*12/I76</f>
        <v>1.16860689655172</v>
      </c>
    </row>
    <row r="77" spans="1:17">
      <c r="A77" s="18" t="s">
        <v>94</v>
      </c>
      <c r="B77" s="19"/>
      <c r="C77" s="19" t="s">
        <v>102</v>
      </c>
      <c r="D77" s="20">
        <v>44085</v>
      </c>
      <c r="E77" s="21">
        <v>12</v>
      </c>
      <c r="F77" s="18">
        <v>300</v>
      </c>
      <c r="G77" s="19">
        <v>60</v>
      </c>
      <c r="H77" s="19">
        <v>5</v>
      </c>
      <c r="I77" s="37">
        <v>365</v>
      </c>
      <c r="J77" s="38">
        <v>297.86</v>
      </c>
      <c r="K77" s="39">
        <v>52.71</v>
      </c>
      <c r="L77" s="40">
        <v>0.08</v>
      </c>
      <c r="M77" s="41">
        <v>350.65</v>
      </c>
      <c r="N77" s="42">
        <f t="shared" si="8"/>
        <v>0.992866666666667</v>
      </c>
      <c r="O77" s="43">
        <f t="shared" si="9"/>
        <v>0.8785</v>
      </c>
      <c r="P77" s="43">
        <f t="shared" si="10"/>
        <v>0.016</v>
      </c>
      <c r="Q77" s="51">
        <f t="shared" si="11"/>
        <v>0.960684931506849</v>
      </c>
    </row>
    <row r="78" spans="1:17">
      <c r="A78" s="18" t="s">
        <v>94</v>
      </c>
      <c r="B78" s="19"/>
      <c r="C78" s="19" t="s">
        <v>103</v>
      </c>
      <c r="D78" s="20">
        <v>45051</v>
      </c>
      <c r="E78" s="21">
        <v>12</v>
      </c>
      <c r="F78" s="18">
        <v>74</v>
      </c>
      <c r="G78" s="19">
        <v>21</v>
      </c>
      <c r="H78" s="19">
        <v>50</v>
      </c>
      <c r="I78" s="37">
        <v>145</v>
      </c>
      <c r="J78" s="38">
        <v>85.73</v>
      </c>
      <c r="K78" s="39">
        <v>7.04</v>
      </c>
      <c r="L78" s="40">
        <v>12.77</v>
      </c>
      <c r="M78" s="41">
        <v>105.54</v>
      </c>
      <c r="N78" s="42">
        <f t="shared" si="8"/>
        <v>1.15851351351351</v>
      </c>
      <c r="O78" s="43">
        <f t="shared" si="9"/>
        <v>0.335238095238095</v>
      </c>
      <c r="P78" s="43">
        <f t="shared" si="10"/>
        <v>0.2554</v>
      </c>
      <c r="Q78" s="51">
        <f t="shared" si="11"/>
        <v>0.727862068965517</v>
      </c>
    </row>
    <row r="79" spans="1:17">
      <c r="A79" s="18" t="s">
        <v>94</v>
      </c>
      <c r="B79" s="19"/>
      <c r="C79" s="19" t="s">
        <v>104</v>
      </c>
      <c r="D79" s="20">
        <v>45763</v>
      </c>
      <c r="E79" s="21">
        <v>8.54794520547945</v>
      </c>
      <c r="F79" s="22"/>
      <c r="G79" s="23"/>
      <c r="H79" s="23"/>
      <c r="I79" s="37">
        <v>140</v>
      </c>
      <c r="J79" s="38">
        <v>24.61</v>
      </c>
      <c r="K79" s="39">
        <v>13.33</v>
      </c>
      <c r="L79" s="40">
        <v>50.96</v>
      </c>
      <c r="M79" s="41">
        <v>88.9</v>
      </c>
      <c r="N79" s="42"/>
      <c r="O79" s="43"/>
      <c r="P79" s="43"/>
      <c r="Q79" s="51">
        <f t="shared" si="11"/>
        <v>0.891442307692308</v>
      </c>
    </row>
    <row r="80" spans="1:17">
      <c r="A80" s="24" t="s">
        <v>94</v>
      </c>
      <c r="B80" s="26" t="s">
        <v>105</v>
      </c>
      <c r="C80" s="26"/>
      <c r="D80" s="26"/>
      <c r="E80" s="27">
        <v>12</v>
      </c>
      <c r="F80" s="28">
        <v>1190</v>
      </c>
      <c r="G80" s="26">
        <v>300</v>
      </c>
      <c r="H80" s="26">
        <v>330</v>
      </c>
      <c r="I80" s="27">
        <v>1820</v>
      </c>
      <c r="J80" s="44">
        <v>1217.69</v>
      </c>
      <c r="K80" s="45">
        <v>303.03</v>
      </c>
      <c r="L80" s="46">
        <v>352.6</v>
      </c>
      <c r="M80" s="47">
        <v>1873.32</v>
      </c>
      <c r="N80" s="48">
        <f t="shared" si="8"/>
        <v>1.02326890756303</v>
      </c>
      <c r="O80" s="49">
        <f t="shared" si="9"/>
        <v>1.0101</v>
      </c>
      <c r="P80" s="49">
        <f t="shared" si="10"/>
        <v>1.06848484848485</v>
      </c>
      <c r="Q80" s="52">
        <f t="shared" si="11"/>
        <v>1.0292967032967</v>
      </c>
    </row>
    <row r="81" spans="1:17">
      <c r="A81" s="18" t="s">
        <v>106</v>
      </c>
      <c r="B81" s="19" t="s">
        <v>107</v>
      </c>
      <c r="C81" s="19" t="s">
        <v>108</v>
      </c>
      <c r="D81" s="20">
        <v>45404</v>
      </c>
      <c r="E81" s="21">
        <v>12</v>
      </c>
      <c r="F81" s="18">
        <v>40</v>
      </c>
      <c r="G81" s="19">
        <v>10</v>
      </c>
      <c r="H81" s="19">
        <v>300</v>
      </c>
      <c r="I81" s="37">
        <v>350</v>
      </c>
      <c r="J81" s="38">
        <v>21.6</v>
      </c>
      <c r="K81" s="39">
        <v>4.4</v>
      </c>
      <c r="L81" s="40">
        <v>205.35</v>
      </c>
      <c r="M81" s="41">
        <v>231.35</v>
      </c>
      <c r="N81" s="42">
        <f t="shared" si="8"/>
        <v>0.54</v>
      </c>
      <c r="O81" s="43">
        <f t="shared" si="9"/>
        <v>0.44</v>
      </c>
      <c r="P81" s="43">
        <f t="shared" si="10"/>
        <v>0.6845</v>
      </c>
      <c r="Q81" s="51">
        <f t="shared" si="11"/>
        <v>0.661</v>
      </c>
    </row>
    <row r="82" spans="1:17">
      <c r="A82" s="18" t="s">
        <v>106</v>
      </c>
      <c r="B82" s="19" t="s">
        <v>107</v>
      </c>
      <c r="C82" s="19" t="s">
        <v>109</v>
      </c>
      <c r="D82" s="20">
        <v>45404</v>
      </c>
      <c r="E82" s="21">
        <v>12</v>
      </c>
      <c r="F82" s="18">
        <v>40</v>
      </c>
      <c r="G82" s="19">
        <v>10</v>
      </c>
      <c r="H82" s="19">
        <v>300</v>
      </c>
      <c r="I82" s="37">
        <v>350</v>
      </c>
      <c r="J82" s="38">
        <v>178.76</v>
      </c>
      <c r="K82" s="39">
        <v>0</v>
      </c>
      <c r="L82" s="40">
        <v>61.28</v>
      </c>
      <c r="M82" s="41">
        <v>240.04</v>
      </c>
      <c r="N82" s="42">
        <f t="shared" si="8"/>
        <v>4.469</v>
      </c>
      <c r="O82" s="43">
        <f t="shared" si="9"/>
        <v>0</v>
      </c>
      <c r="P82" s="43">
        <f t="shared" si="10"/>
        <v>0.204266666666667</v>
      </c>
      <c r="Q82" s="51">
        <f t="shared" si="11"/>
        <v>0.685828571428571</v>
      </c>
    </row>
    <row r="83" spans="1:17">
      <c r="A83" s="18" t="s">
        <v>106</v>
      </c>
      <c r="B83" s="19" t="s">
        <v>107</v>
      </c>
      <c r="C83" s="19" t="s">
        <v>110</v>
      </c>
      <c r="D83" s="20">
        <v>45945</v>
      </c>
      <c r="E83" s="21">
        <v>2.56438356164384</v>
      </c>
      <c r="F83" s="22"/>
      <c r="G83" s="23"/>
      <c r="H83" s="23"/>
      <c r="I83" s="37">
        <v>200</v>
      </c>
      <c r="J83" s="38">
        <v>7.61</v>
      </c>
      <c r="K83" s="39">
        <v>2.07</v>
      </c>
      <c r="L83" s="40">
        <v>15.6</v>
      </c>
      <c r="M83" s="41">
        <v>25.28</v>
      </c>
      <c r="N83" s="42"/>
      <c r="O83" s="43"/>
      <c r="P83" s="43"/>
      <c r="Q83" s="51">
        <f t="shared" si="11"/>
        <v>0.59148717948718</v>
      </c>
    </row>
    <row r="84" spans="1:17">
      <c r="A84" s="24" t="s">
        <v>106</v>
      </c>
      <c r="B84" s="25" t="s">
        <v>111</v>
      </c>
      <c r="C84" s="26"/>
      <c r="D84" s="26"/>
      <c r="E84" s="27">
        <v>2.56</v>
      </c>
      <c r="F84" s="28"/>
      <c r="G84" s="26"/>
      <c r="H84" s="26"/>
      <c r="I84" s="27">
        <v>700</v>
      </c>
      <c r="J84" s="44">
        <v>47.210812</v>
      </c>
      <c r="K84" s="45">
        <v>2.185378</v>
      </c>
      <c r="L84" s="46">
        <v>3.7328275</v>
      </c>
      <c r="M84" s="47">
        <f>J84+K84+L84</f>
        <v>53.1290175</v>
      </c>
      <c r="N84" s="48"/>
      <c r="O84" s="49"/>
      <c r="P84" s="49"/>
      <c r="Q84" s="52">
        <f t="shared" si="11"/>
        <v>0.355774670758928</v>
      </c>
    </row>
    <row r="85" spans="1:17">
      <c r="A85" s="18" t="s">
        <v>106</v>
      </c>
      <c r="B85" s="19"/>
      <c r="C85" s="19" t="s">
        <v>112</v>
      </c>
      <c r="D85" s="20">
        <v>42597</v>
      </c>
      <c r="E85" s="21">
        <v>12</v>
      </c>
      <c r="F85" s="18">
        <v>180</v>
      </c>
      <c r="G85" s="19">
        <v>40</v>
      </c>
      <c r="H85" s="19">
        <v>60</v>
      </c>
      <c r="I85" s="37">
        <v>280</v>
      </c>
      <c r="J85" s="38">
        <v>110.93</v>
      </c>
      <c r="K85" s="39">
        <v>4.32</v>
      </c>
      <c r="L85" s="40">
        <v>33.68</v>
      </c>
      <c r="M85" s="41">
        <v>148.93</v>
      </c>
      <c r="N85" s="42">
        <f t="shared" si="8"/>
        <v>0.616277777777778</v>
      </c>
      <c r="O85" s="43">
        <f t="shared" si="9"/>
        <v>0.108</v>
      </c>
      <c r="P85" s="43">
        <f t="shared" si="10"/>
        <v>0.561333333333333</v>
      </c>
      <c r="Q85" s="51">
        <f t="shared" si="11"/>
        <v>0.531892857142857</v>
      </c>
    </row>
    <row r="86" spans="1:17">
      <c r="A86" s="18" t="s">
        <v>106</v>
      </c>
      <c r="B86" s="19"/>
      <c r="C86" s="19" t="s">
        <v>113</v>
      </c>
      <c r="D86" s="20">
        <v>44088</v>
      </c>
      <c r="E86" s="21">
        <v>12</v>
      </c>
      <c r="F86" s="18">
        <v>220</v>
      </c>
      <c r="G86" s="19">
        <v>40</v>
      </c>
      <c r="H86" s="19">
        <v>60</v>
      </c>
      <c r="I86" s="37">
        <v>320</v>
      </c>
      <c r="J86" s="38">
        <v>140.32</v>
      </c>
      <c r="K86" s="39">
        <v>24.38</v>
      </c>
      <c r="L86" s="40">
        <v>29.55</v>
      </c>
      <c r="M86" s="41">
        <v>194.25</v>
      </c>
      <c r="N86" s="42">
        <f t="shared" si="8"/>
        <v>0.637818181818182</v>
      </c>
      <c r="O86" s="43">
        <f t="shared" si="9"/>
        <v>0.6095</v>
      </c>
      <c r="P86" s="43">
        <f t="shared" si="10"/>
        <v>0.4925</v>
      </c>
      <c r="Q86" s="51">
        <f t="shared" si="11"/>
        <v>0.60703125</v>
      </c>
    </row>
    <row r="87" spans="1:17">
      <c r="A87" s="18" t="s">
        <v>106</v>
      </c>
      <c r="B87" s="19"/>
      <c r="C87" s="19" t="s">
        <v>114</v>
      </c>
      <c r="D87" s="20">
        <v>44385</v>
      </c>
      <c r="E87" s="21">
        <v>12</v>
      </c>
      <c r="F87" s="18">
        <v>0</v>
      </c>
      <c r="G87" s="19">
        <v>0</v>
      </c>
      <c r="H87" s="19">
        <v>160</v>
      </c>
      <c r="I87" s="37">
        <v>160</v>
      </c>
      <c r="J87" s="38">
        <v>0.25</v>
      </c>
      <c r="K87" s="39">
        <v>0.01</v>
      </c>
      <c r="L87" s="40">
        <v>195.15</v>
      </c>
      <c r="M87" s="41">
        <v>195.41</v>
      </c>
      <c r="N87" s="42"/>
      <c r="O87" s="43"/>
      <c r="P87" s="43">
        <f t="shared" si="10"/>
        <v>1.2196875</v>
      </c>
      <c r="Q87" s="51">
        <f t="shared" si="11"/>
        <v>1.2213125</v>
      </c>
    </row>
    <row r="88" spans="1:17">
      <c r="A88" s="18" t="s">
        <v>106</v>
      </c>
      <c r="B88" s="19"/>
      <c r="C88" s="19" t="s">
        <v>115</v>
      </c>
      <c r="D88" s="20">
        <v>44405</v>
      </c>
      <c r="E88" s="21">
        <v>12</v>
      </c>
      <c r="F88" s="18">
        <v>110</v>
      </c>
      <c r="G88" s="19">
        <v>120</v>
      </c>
      <c r="H88" s="19">
        <v>190</v>
      </c>
      <c r="I88" s="37">
        <v>420</v>
      </c>
      <c r="J88" s="38">
        <v>50.3</v>
      </c>
      <c r="K88" s="39">
        <v>62.2</v>
      </c>
      <c r="L88" s="40">
        <v>143.99</v>
      </c>
      <c r="M88" s="41">
        <v>256.49</v>
      </c>
      <c r="N88" s="42">
        <f t="shared" si="8"/>
        <v>0.457272727272727</v>
      </c>
      <c r="O88" s="43">
        <f t="shared" si="9"/>
        <v>0.518333333333333</v>
      </c>
      <c r="P88" s="43">
        <f t="shared" si="10"/>
        <v>0.757842105263158</v>
      </c>
      <c r="Q88" s="51">
        <f t="shared" si="11"/>
        <v>0.610690476190476</v>
      </c>
    </row>
    <row r="89" spans="1:17">
      <c r="A89" s="18" t="s">
        <v>106</v>
      </c>
      <c r="B89" s="19"/>
      <c r="C89" s="19" t="s">
        <v>116</v>
      </c>
      <c r="D89" s="20">
        <v>45713</v>
      </c>
      <c r="E89" s="21">
        <v>10.1917808219178</v>
      </c>
      <c r="F89" s="22"/>
      <c r="G89" s="23"/>
      <c r="H89" s="23"/>
      <c r="I89" s="37">
        <v>190</v>
      </c>
      <c r="J89" s="38">
        <v>70.43</v>
      </c>
      <c r="K89" s="39">
        <v>2.12</v>
      </c>
      <c r="L89" s="40">
        <v>15.25</v>
      </c>
      <c r="M89" s="41">
        <v>87.8</v>
      </c>
      <c r="N89" s="42"/>
      <c r="O89" s="43"/>
      <c r="P89" s="43"/>
      <c r="Q89" s="51">
        <f t="shared" si="11"/>
        <v>0.544091680814941</v>
      </c>
    </row>
    <row r="90" spans="1:17">
      <c r="A90" s="18" t="s">
        <v>106</v>
      </c>
      <c r="B90" s="19"/>
      <c r="C90" s="19" t="s">
        <v>117</v>
      </c>
      <c r="D90" s="20">
        <v>46002</v>
      </c>
      <c r="E90" s="21">
        <v>0.69041095890411</v>
      </c>
      <c r="F90" s="22"/>
      <c r="G90" s="23"/>
      <c r="H90" s="23"/>
      <c r="I90" s="37">
        <v>200</v>
      </c>
      <c r="J90" s="38">
        <v>11.65</v>
      </c>
      <c r="K90" s="39">
        <v>1.06</v>
      </c>
      <c r="L90" s="40">
        <v>1.3</v>
      </c>
      <c r="M90" s="41">
        <v>14.01</v>
      </c>
      <c r="N90" s="42"/>
      <c r="O90" s="43"/>
      <c r="P90" s="43"/>
      <c r="Q90" s="51">
        <f t="shared" si="11"/>
        <v>1.21753571428571</v>
      </c>
    </row>
    <row r="91" spans="1:17">
      <c r="A91" s="24" t="s">
        <v>106</v>
      </c>
      <c r="B91" s="26" t="s">
        <v>118</v>
      </c>
      <c r="C91" s="26"/>
      <c r="D91" s="26"/>
      <c r="E91" s="27">
        <v>12</v>
      </c>
      <c r="F91" s="28">
        <v>1200</v>
      </c>
      <c r="G91" s="26">
        <v>300</v>
      </c>
      <c r="H91" s="26">
        <v>1500</v>
      </c>
      <c r="I91" s="27">
        <v>3000</v>
      </c>
      <c r="J91" s="44">
        <v>937.15</v>
      </c>
      <c r="K91" s="45">
        <v>122.39</v>
      </c>
      <c r="L91" s="46">
        <v>1005.02</v>
      </c>
      <c r="M91" s="47">
        <v>2064.56</v>
      </c>
      <c r="N91" s="48">
        <f t="shared" si="8"/>
        <v>0.780958333333333</v>
      </c>
      <c r="O91" s="49">
        <f t="shared" si="9"/>
        <v>0.407966666666667</v>
      </c>
      <c r="P91" s="49">
        <f t="shared" si="10"/>
        <v>0.670013333333333</v>
      </c>
      <c r="Q91" s="52">
        <f t="shared" si="11"/>
        <v>0.688186666666667</v>
      </c>
    </row>
    <row r="92" spans="1:17">
      <c r="A92" s="18" t="s">
        <v>119</v>
      </c>
      <c r="B92" s="19" t="s">
        <v>120</v>
      </c>
      <c r="C92" s="19" t="s">
        <v>121</v>
      </c>
      <c r="D92" s="20">
        <v>45608</v>
      </c>
      <c r="E92" s="21">
        <v>12</v>
      </c>
      <c r="F92" s="18">
        <v>60</v>
      </c>
      <c r="G92" s="19">
        <v>120</v>
      </c>
      <c r="H92" s="19">
        <v>190</v>
      </c>
      <c r="I92" s="37">
        <v>370</v>
      </c>
      <c r="J92" s="38">
        <v>4.21</v>
      </c>
      <c r="K92" s="39">
        <v>9.25</v>
      </c>
      <c r="L92" s="40">
        <v>21.63</v>
      </c>
      <c r="M92" s="41">
        <v>35.09</v>
      </c>
      <c r="N92" s="42">
        <f t="shared" si="8"/>
        <v>0.0701666666666667</v>
      </c>
      <c r="O92" s="43">
        <f t="shared" si="9"/>
        <v>0.0770833333333333</v>
      </c>
      <c r="P92" s="43">
        <f t="shared" si="10"/>
        <v>0.113842105263158</v>
      </c>
      <c r="Q92" s="51">
        <f t="shared" si="11"/>
        <v>0.0948378378378378</v>
      </c>
    </row>
    <row r="93" spans="1:17">
      <c r="A93" s="18" t="s">
        <v>119</v>
      </c>
      <c r="B93" s="19" t="s">
        <v>120</v>
      </c>
      <c r="C93" s="19" t="s">
        <v>122</v>
      </c>
      <c r="D93" s="20">
        <v>45643</v>
      </c>
      <c r="E93" s="21">
        <v>12</v>
      </c>
      <c r="F93" s="18">
        <v>60</v>
      </c>
      <c r="G93" s="19">
        <v>20</v>
      </c>
      <c r="H93" s="19">
        <v>50</v>
      </c>
      <c r="I93" s="37">
        <v>130</v>
      </c>
      <c r="J93" s="38">
        <v>45.68</v>
      </c>
      <c r="K93" s="39">
        <v>98.28</v>
      </c>
      <c r="L93" s="40">
        <v>106.62</v>
      </c>
      <c r="M93" s="41">
        <v>250.58</v>
      </c>
      <c r="N93" s="42">
        <f t="shared" si="8"/>
        <v>0.761333333333333</v>
      </c>
      <c r="O93" s="43">
        <f t="shared" si="9"/>
        <v>4.914</v>
      </c>
      <c r="P93" s="43">
        <f t="shared" si="10"/>
        <v>2.1324</v>
      </c>
      <c r="Q93" s="51">
        <f t="shared" si="11"/>
        <v>1.92753846153846</v>
      </c>
    </row>
    <row r="94" spans="1:17">
      <c r="A94" s="24" t="s">
        <v>119</v>
      </c>
      <c r="B94" s="25" t="s">
        <v>123</v>
      </c>
      <c r="C94" s="26"/>
      <c r="D94" s="26"/>
      <c r="E94" s="27">
        <v>12</v>
      </c>
      <c r="F94" s="28">
        <v>120</v>
      </c>
      <c r="G94" s="26">
        <v>140</v>
      </c>
      <c r="H94" s="26">
        <v>240</v>
      </c>
      <c r="I94" s="27">
        <v>500</v>
      </c>
      <c r="J94" s="44">
        <v>49.89</v>
      </c>
      <c r="K94" s="45">
        <v>107.52</v>
      </c>
      <c r="L94" s="46">
        <v>128.26</v>
      </c>
      <c r="M94" s="47">
        <v>285.67</v>
      </c>
      <c r="N94" s="48">
        <f t="shared" si="8"/>
        <v>0.41575</v>
      </c>
      <c r="O94" s="49">
        <f t="shared" si="9"/>
        <v>0.768</v>
      </c>
      <c r="P94" s="49">
        <f t="shared" si="10"/>
        <v>0.534416666666667</v>
      </c>
      <c r="Q94" s="52">
        <f t="shared" si="11"/>
        <v>0.57134</v>
      </c>
    </row>
    <row r="95" spans="1:17">
      <c r="A95" s="18" t="s">
        <v>119</v>
      </c>
      <c r="B95" s="19" t="s">
        <v>124</v>
      </c>
      <c r="C95" s="19" t="s">
        <v>125</v>
      </c>
      <c r="D95" s="20">
        <v>45728</v>
      </c>
      <c r="E95" s="21">
        <v>9.6986301369863</v>
      </c>
      <c r="F95" s="22"/>
      <c r="G95" s="23"/>
      <c r="H95" s="23"/>
      <c r="I95" s="37">
        <v>360</v>
      </c>
      <c r="J95" s="38">
        <v>0.18</v>
      </c>
      <c r="K95" s="39">
        <v>1.04</v>
      </c>
      <c r="L95" s="40">
        <v>10.87</v>
      </c>
      <c r="M95" s="41">
        <v>12.09</v>
      </c>
      <c r="N95" s="42"/>
      <c r="O95" s="43"/>
      <c r="P95" s="43"/>
      <c r="Q95" s="51">
        <f t="shared" si="11"/>
        <v>0.0415522598870057</v>
      </c>
    </row>
    <row r="96" spans="1:17">
      <c r="A96" s="24" t="s">
        <v>119</v>
      </c>
      <c r="B96" s="25" t="s">
        <v>126</v>
      </c>
      <c r="C96" s="26"/>
      <c r="D96" s="26"/>
      <c r="E96" s="27">
        <v>9.7</v>
      </c>
      <c r="F96" s="28"/>
      <c r="G96" s="26"/>
      <c r="H96" s="26"/>
      <c r="I96" s="27">
        <v>700</v>
      </c>
      <c r="J96" s="44">
        <v>20.98</v>
      </c>
      <c r="K96" s="45">
        <v>2.41</v>
      </c>
      <c r="L96" s="46">
        <v>13.44</v>
      </c>
      <c r="M96" s="47">
        <v>36.83</v>
      </c>
      <c r="N96" s="48"/>
      <c r="O96" s="49"/>
      <c r="P96" s="49"/>
      <c r="Q96" s="52">
        <f t="shared" si="11"/>
        <v>0.0650898379970545</v>
      </c>
    </row>
    <row r="97" spans="1:17">
      <c r="A97" s="18" t="s">
        <v>119</v>
      </c>
      <c r="B97" s="19" t="s">
        <v>127</v>
      </c>
      <c r="C97" s="19" t="s">
        <v>128</v>
      </c>
      <c r="D97" s="20">
        <v>42513</v>
      </c>
      <c r="E97" s="21">
        <v>12</v>
      </c>
      <c r="F97" s="18">
        <v>70</v>
      </c>
      <c r="G97" s="19">
        <v>100</v>
      </c>
      <c r="H97" s="19">
        <v>70</v>
      </c>
      <c r="I97" s="37">
        <v>240</v>
      </c>
      <c r="J97" s="38">
        <v>55.91</v>
      </c>
      <c r="K97" s="39">
        <v>105.55</v>
      </c>
      <c r="L97" s="40">
        <v>109.65</v>
      </c>
      <c r="M97" s="41">
        <v>271.11</v>
      </c>
      <c r="N97" s="42">
        <f t="shared" si="8"/>
        <v>0.798714285714286</v>
      </c>
      <c r="O97" s="43">
        <f t="shared" si="9"/>
        <v>1.0555</v>
      </c>
      <c r="P97" s="43">
        <f t="shared" si="10"/>
        <v>1.56642857142857</v>
      </c>
      <c r="Q97" s="51">
        <f t="shared" si="11"/>
        <v>1.129625</v>
      </c>
    </row>
    <row r="98" spans="1:17">
      <c r="A98" s="18" t="s">
        <v>119</v>
      </c>
      <c r="B98" s="19" t="s">
        <v>127</v>
      </c>
      <c r="C98" s="19" t="s">
        <v>129</v>
      </c>
      <c r="D98" s="20">
        <v>44680</v>
      </c>
      <c r="E98" s="21">
        <v>12</v>
      </c>
      <c r="F98" s="18">
        <v>270</v>
      </c>
      <c r="G98" s="19">
        <v>70</v>
      </c>
      <c r="H98" s="19">
        <v>30</v>
      </c>
      <c r="I98" s="37">
        <v>370</v>
      </c>
      <c r="J98" s="38">
        <v>134.53</v>
      </c>
      <c r="K98" s="39">
        <v>41.56</v>
      </c>
      <c r="L98" s="40">
        <v>12.6</v>
      </c>
      <c r="M98" s="41">
        <v>188.69</v>
      </c>
      <c r="N98" s="42">
        <f t="shared" si="8"/>
        <v>0.498259259259259</v>
      </c>
      <c r="O98" s="43">
        <f t="shared" si="9"/>
        <v>0.593714285714286</v>
      </c>
      <c r="P98" s="43">
        <f t="shared" si="10"/>
        <v>0.42</v>
      </c>
      <c r="Q98" s="51">
        <f t="shared" si="11"/>
        <v>0.509972972972973</v>
      </c>
    </row>
    <row r="99" spans="1:17">
      <c r="A99" s="18" t="s">
        <v>119</v>
      </c>
      <c r="B99" s="19" t="s">
        <v>127</v>
      </c>
      <c r="C99" s="19" t="s">
        <v>130</v>
      </c>
      <c r="D99" s="20">
        <v>45133</v>
      </c>
      <c r="E99" s="21">
        <v>12</v>
      </c>
      <c r="F99" s="18">
        <v>20</v>
      </c>
      <c r="G99" s="19">
        <v>20</v>
      </c>
      <c r="H99" s="19">
        <v>50</v>
      </c>
      <c r="I99" s="37">
        <v>90</v>
      </c>
      <c r="J99" s="38">
        <v>17.84</v>
      </c>
      <c r="K99" s="39">
        <v>23.35</v>
      </c>
      <c r="L99" s="40">
        <v>22.23</v>
      </c>
      <c r="M99" s="41">
        <v>63.42</v>
      </c>
      <c r="N99" s="42">
        <f t="shared" si="8"/>
        <v>0.892</v>
      </c>
      <c r="O99" s="43">
        <f t="shared" si="9"/>
        <v>1.1675</v>
      </c>
      <c r="P99" s="43">
        <f t="shared" si="10"/>
        <v>0.4446</v>
      </c>
      <c r="Q99" s="51">
        <f t="shared" si="11"/>
        <v>0.704666666666667</v>
      </c>
    </row>
    <row r="100" spans="1:17">
      <c r="A100" s="24" t="s">
        <v>119</v>
      </c>
      <c r="B100" s="25" t="s">
        <v>131</v>
      </c>
      <c r="C100" s="26"/>
      <c r="D100" s="26"/>
      <c r="E100" s="27">
        <v>12</v>
      </c>
      <c r="F100" s="28">
        <v>500</v>
      </c>
      <c r="G100" s="26">
        <v>220</v>
      </c>
      <c r="H100" s="26">
        <v>240</v>
      </c>
      <c r="I100" s="27">
        <v>960</v>
      </c>
      <c r="J100" s="44">
        <v>217.86</v>
      </c>
      <c r="K100" s="45">
        <v>186.6</v>
      </c>
      <c r="L100" s="46">
        <v>147.09</v>
      </c>
      <c r="M100" s="47">
        <v>551.55</v>
      </c>
      <c r="N100" s="48">
        <f t="shared" si="8"/>
        <v>0.43572</v>
      </c>
      <c r="O100" s="49">
        <f t="shared" si="9"/>
        <v>0.848181818181818</v>
      </c>
      <c r="P100" s="49">
        <f t="shared" si="10"/>
        <v>0.612875</v>
      </c>
      <c r="Q100" s="52">
        <f t="shared" si="11"/>
        <v>0.57453125</v>
      </c>
    </row>
    <row r="101" spans="1:17">
      <c r="A101" s="18" t="s">
        <v>119</v>
      </c>
      <c r="B101" s="19"/>
      <c r="C101" s="19" t="s">
        <v>132</v>
      </c>
      <c r="D101" s="20">
        <v>44452</v>
      </c>
      <c r="E101" s="21">
        <v>12</v>
      </c>
      <c r="F101" s="18">
        <v>30</v>
      </c>
      <c r="G101" s="19">
        <v>40</v>
      </c>
      <c r="H101" s="19">
        <v>100</v>
      </c>
      <c r="I101" s="37">
        <v>170</v>
      </c>
      <c r="J101" s="38">
        <v>26.67</v>
      </c>
      <c r="K101" s="39">
        <v>42.32</v>
      </c>
      <c r="L101" s="40">
        <v>4.7</v>
      </c>
      <c r="M101" s="41">
        <v>73.69</v>
      </c>
      <c r="N101" s="42">
        <f t="shared" si="8"/>
        <v>0.889</v>
      </c>
      <c r="O101" s="43">
        <f t="shared" si="9"/>
        <v>1.058</v>
      </c>
      <c r="P101" s="43">
        <f t="shared" si="10"/>
        <v>0.047</v>
      </c>
      <c r="Q101" s="51">
        <f t="shared" si="11"/>
        <v>0.433470588235294</v>
      </c>
    </row>
    <row r="102" spans="1:17">
      <c r="A102" s="24" t="s">
        <v>119</v>
      </c>
      <c r="B102" s="26" t="s">
        <v>133</v>
      </c>
      <c r="C102" s="26"/>
      <c r="D102" s="26"/>
      <c r="E102" s="27">
        <v>12</v>
      </c>
      <c r="F102" s="28">
        <v>650</v>
      </c>
      <c r="G102" s="26">
        <v>400</v>
      </c>
      <c r="H102" s="26">
        <v>800</v>
      </c>
      <c r="I102" s="27">
        <v>1850</v>
      </c>
      <c r="J102" s="44">
        <v>395.26</v>
      </c>
      <c r="K102" s="45">
        <v>401.38</v>
      </c>
      <c r="L102" s="46">
        <v>500</v>
      </c>
      <c r="M102" s="47">
        <v>1296.64</v>
      </c>
      <c r="N102" s="48">
        <f t="shared" si="8"/>
        <v>0.608092307692308</v>
      </c>
      <c r="O102" s="49">
        <f t="shared" si="9"/>
        <v>1.00345</v>
      </c>
      <c r="P102" s="49">
        <f t="shared" si="10"/>
        <v>0.625</v>
      </c>
      <c r="Q102" s="52">
        <f t="shared" si="11"/>
        <v>0.700886486486486</v>
      </c>
    </row>
    <row r="103" spans="1:17">
      <c r="A103" s="18" t="s">
        <v>134</v>
      </c>
      <c r="B103" s="19" t="s">
        <v>135</v>
      </c>
      <c r="C103" s="19" t="s">
        <v>136</v>
      </c>
      <c r="D103" s="20">
        <v>40000</v>
      </c>
      <c r="E103" s="21">
        <v>12</v>
      </c>
      <c r="F103" s="18">
        <v>200</v>
      </c>
      <c r="G103" s="19">
        <v>95</v>
      </c>
      <c r="H103" s="19">
        <v>20</v>
      </c>
      <c r="I103" s="37">
        <v>315</v>
      </c>
      <c r="J103" s="38">
        <v>391.62</v>
      </c>
      <c r="K103" s="39">
        <v>110.18</v>
      </c>
      <c r="L103" s="40">
        <v>59.79</v>
      </c>
      <c r="M103" s="41">
        <v>561.59</v>
      </c>
      <c r="N103" s="42">
        <f t="shared" si="8"/>
        <v>1.9581</v>
      </c>
      <c r="O103" s="43">
        <f t="shared" si="9"/>
        <v>1.15978947368421</v>
      </c>
      <c r="P103" s="43">
        <f t="shared" si="10"/>
        <v>2.9895</v>
      </c>
      <c r="Q103" s="51">
        <f t="shared" si="11"/>
        <v>1.7828253968254</v>
      </c>
    </row>
    <row r="104" spans="1:17">
      <c r="A104" s="18" t="s">
        <v>134</v>
      </c>
      <c r="B104" s="19" t="s">
        <v>135</v>
      </c>
      <c r="C104" s="19" t="s">
        <v>137</v>
      </c>
      <c r="D104" s="20">
        <v>43930</v>
      </c>
      <c r="E104" s="21">
        <v>12</v>
      </c>
      <c r="F104" s="18">
        <v>700</v>
      </c>
      <c r="G104" s="19">
        <v>0</v>
      </c>
      <c r="H104" s="19">
        <v>14</v>
      </c>
      <c r="I104" s="37">
        <v>714</v>
      </c>
      <c r="J104" s="38">
        <v>800.6</v>
      </c>
      <c r="K104" s="39">
        <v>0.03</v>
      </c>
      <c r="L104" s="40">
        <v>11.69</v>
      </c>
      <c r="M104" s="41">
        <v>812.32</v>
      </c>
      <c r="N104" s="42">
        <f t="shared" si="8"/>
        <v>1.14371428571429</v>
      </c>
      <c r="O104" s="43"/>
      <c r="P104" s="43">
        <f t="shared" si="10"/>
        <v>0.835</v>
      </c>
      <c r="Q104" s="51">
        <f t="shared" si="11"/>
        <v>1.13770308123249</v>
      </c>
    </row>
    <row r="105" spans="1:17">
      <c r="A105" s="18" t="s">
        <v>134</v>
      </c>
      <c r="B105" s="19" t="s">
        <v>135</v>
      </c>
      <c r="C105" s="19" t="s">
        <v>138</v>
      </c>
      <c r="D105" s="20">
        <v>44091</v>
      </c>
      <c r="E105" s="21">
        <v>12</v>
      </c>
      <c r="F105" s="18">
        <v>870</v>
      </c>
      <c r="G105" s="19">
        <v>0</v>
      </c>
      <c r="H105" s="19">
        <v>10</v>
      </c>
      <c r="I105" s="37">
        <v>880</v>
      </c>
      <c r="J105" s="38">
        <v>670.91</v>
      </c>
      <c r="K105" s="39">
        <v>0.06</v>
      </c>
      <c r="L105" s="40">
        <v>9.55</v>
      </c>
      <c r="M105" s="41">
        <v>680.52</v>
      </c>
      <c r="N105" s="42">
        <f t="shared" si="8"/>
        <v>0.77116091954023</v>
      </c>
      <c r="O105" s="43"/>
      <c r="P105" s="43">
        <f t="shared" si="10"/>
        <v>0.955</v>
      </c>
      <c r="Q105" s="51">
        <f t="shared" si="11"/>
        <v>0.773318181818182</v>
      </c>
    </row>
    <row r="106" spans="1:17">
      <c r="A106" s="18" t="s">
        <v>134</v>
      </c>
      <c r="B106" s="19" t="s">
        <v>135</v>
      </c>
      <c r="C106" s="19" t="s">
        <v>139</v>
      </c>
      <c r="D106" s="20">
        <v>43237</v>
      </c>
      <c r="E106" s="21">
        <v>12</v>
      </c>
      <c r="F106" s="18">
        <v>100</v>
      </c>
      <c r="G106" s="19">
        <v>0</v>
      </c>
      <c r="H106" s="19">
        <v>1</v>
      </c>
      <c r="I106" s="37">
        <v>101</v>
      </c>
      <c r="J106" s="38">
        <v>156.91</v>
      </c>
      <c r="K106" s="39">
        <v>14.98</v>
      </c>
      <c r="L106" s="40">
        <v>1.43</v>
      </c>
      <c r="M106" s="41">
        <v>173.32</v>
      </c>
      <c r="N106" s="42">
        <f t="shared" si="8"/>
        <v>1.5691</v>
      </c>
      <c r="O106" s="43"/>
      <c r="P106" s="43">
        <f t="shared" si="10"/>
        <v>1.43</v>
      </c>
      <c r="Q106" s="51">
        <f t="shared" si="11"/>
        <v>1.7160396039604</v>
      </c>
    </row>
    <row r="107" spans="1:17">
      <c r="A107" s="18" t="s">
        <v>134</v>
      </c>
      <c r="B107" s="19" t="s">
        <v>135</v>
      </c>
      <c r="C107" s="19" t="s">
        <v>140</v>
      </c>
      <c r="D107" s="20">
        <v>45389</v>
      </c>
      <c r="E107" s="21">
        <v>12</v>
      </c>
      <c r="F107" s="18">
        <v>900</v>
      </c>
      <c r="G107" s="19">
        <v>0</v>
      </c>
      <c r="H107" s="19">
        <v>20</v>
      </c>
      <c r="I107" s="37">
        <v>920</v>
      </c>
      <c r="J107" s="38">
        <v>736.58</v>
      </c>
      <c r="K107" s="39">
        <v>0.32</v>
      </c>
      <c r="L107" s="40">
        <v>11.98</v>
      </c>
      <c r="M107" s="41">
        <v>748.88</v>
      </c>
      <c r="N107" s="42">
        <f t="shared" si="8"/>
        <v>0.818422222222222</v>
      </c>
      <c r="O107" s="43"/>
      <c r="P107" s="43">
        <f t="shared" si="10"/>
        <v>0.599</v>
      </c>
      <c r="Q107" s="51">
        <f t="shared" si="11"/>
        <v>0.814</v>
      </c>
    </row>
    <row r="108" spans="1:17">
      <c r="A108" s="18" t="s">
        <v>134</v>
      </c>
      <c r="B108" s="19" t="s">
        <v>135</v>
      </c>
      <c r="C108" s="19" t="s">
        <v>141</v>
      </c>
      <c r="D108" s="20">
        <v>45560</v>
      </c>
      <c r="E108" s="21">
        <v>12</v>
      </c>
      <c r="F108" s="18">
        <v>100</v>
      </c>
      <c r="G108" s="19">
        <v>1</v>
      </c>
      <c r="H108" s="19">
        <v>5</v>
      </c>
      <c r="I108" s="37">
        <v>106</v>
      </c>
      <c r="J108" s="38">
        <v>67.66</v>
      </c>
      <c r="K108" s="39">
        <v>0.91</v>
      </c>
      <c r="L108" s="40">
        <v>6.28</v>
      </c>
      <c r="M108" s="41">
        <v>74.85</v>
      </c>
      <c r="N108" s="42">
        <f t="shared" si="8"/>
        <v>0.6766</v>
      </c>
      <c r="O108" s="43">
        <f t="shared" si="9"/>
        <v>0.91</v>
      </c>
      <c r="P108" s="43">
        <f t="shared" si="10"/>
        <v>1.256</v>
      </c>
      <c r="Q108" s="51">
        <f t="shared" si="11"/>
        <v>0.706132075471698</v>
      </c>
    </row>
    <row r="109" spans="1:17">
      <c r="A109" s="18" t="s">
        <v>134</v>
      </c>
      <c r="B109" s="19" t="s">
        <v>135</v>
      </c>
      <c r="C109" s="19" t="s">
        <v>142</v>
      </c>
      <c r="D109" s="20">
        <v>45649</v>
      </c>
      <c r="E109" s="21">
        <v>12</v>
      </c>
      <c r="F109" s="18">
        <v>500</v>
      </c>
      <c r="G109" s="19">
        <v>4</v>
      </c>
      <c r="H109" s="19">
        <v>10</v>
      </c>
      <c r="I109" s="37">
        <v>514</v>
      </c>
      <c r="J109" s="38">
        <v>204.62</v>
      </c>
      <c r="K109" s="39">
        <v>0.17</v>
      </c>
      <c r="L109" s="40">
        <v>2.87</v>
      </c>
      <c r="M109" s="41">
        <v>207.66</v>
      </c>
      <c r="N109" s="42">
        <f t="shared" si="8"/>
        <v>0.40924</v>
      </c>
      <c r="O109" s="43">
        <f t="shared" si="9"/>
        <v>0.0425</v>
      </c>
      <c r="P109" s="43">
        <f t="shared" si="10"/>
        <v>0.287</v>
      </c>
      <c r="Q109" s="51">
        <f t="shared" si="11"/>
        <v>0.404007782101167</v>
      </c>
    </row>
    <row r="110" spans="1:17">
      <c r="A110" s="24" t="s">
        <v>134</v>
      </c>
      <c r="B110" s="25" t="s">
        <v>143</v>
      </c>
      <c r="C110" s="26"/>
      <c r="D110" s="26"/>
      <c r="E110" s="27">
        <v>12</v>
      </c>
      <c r="F110" s="28">
        <v>2970</v>
      </c>
      <c r="G110" s="26">
        <v>96</v>
      </c>
      <c r="H110" s="26">
        <v>70</v>
      </c>
      <c r="I110" s="27">
        <v>3136</v>
      </c>
      <c r="J110" s="44">
        <v>3041.54</v>
      </c>
      <c r="K110" s="45">
        <v>126.7</v>
      </c>
      <c r="L110" s="46">
        <v>103.95</v>
      </c>
      <c r="M110" s="47">
        <v>3272.19</v>
      </c>
      <c r="N110" s="48">
        <f t="shared" si="8"/>
        <v>1.02408754208754</v>
      </c>
      <c r="O110" s="49">
        <f t="shared" si="9"/>
        <v>1.31979166666667</v>
      </c>
      <c r="P110" s="49">
        <f t="shared" si="10"/>
        <v>1.485</v>
      </c>
      <c r="Q110" s="52">
        <f t="shared" si="11"/>
        <v>1.04342793367347</v>
      </c>
    </row>
    <row r="111" spans="1:17">
      <c r="A111" s="18" t="s">
        <v>134</v>
      </c>
      <c r="B111" s="19" t="s">
        <v>144</v>
      </c>
      <c r="C111" s="19" t="s">
        <v>145</v>
      </c>
      <c r="D111" s="20">
        <v>41417</v>
      </c>
      <c r="E111" s="21">
        <v>12</v>
      </c>
      <c r="F111" s="18">
        <v>70</v>
      </c>
      <c r="G111" s="19">
        <v>56</v>
      </c>
      <c r="H111" s="19">
        <v>34</v>
      </c>
      <c r="I111" s="37">
        <v>160</v>
      </c>
      <c r="J111" s="38">
        <v>75</v>
      </c>
      <c r="K111" s="39">
        <v>47.57</v>
      </c>
      <c r="L111" s="40">
        <v>41.38</v>
      </c>
      <c r="M111" s="41">
        <v>163.95</v>
      </c>
      <c r="N111" s="42">
        <f t="shared" si="8"/>
        <v>1.07142857142857</v>
      </c>
      <c r="O111" s="43">
        <f t="shared" si="9"/>
        <v>0.849464285714286</v>
      </c>
      <c r="P111" s="43">
        <f t="shared" si="10"/>
        <v>1.21705882352941</v>
      </c>
      <c r="Q111" s="51">
        <f t="shared" si="11"/>
        <v>1.0246875</v>
      </c>
    </row>
    <row r="112" spans="1:17">
      <c r="A112" s="18" t="s">
        <v>134</v>
      </c>
      <c r="B112" s="19" t="s">
        <v>144</v>
      </c>
      <c r="C112" s="19" t="s">
        <v>146</v>
      </c>
      <c r="D112" s="20">
        <v>44652</v>
      </c>
      <c r="E112" s="21">
        <v>12</v>
      </c>
      <c r="F112" s="18">
        <v>260</v>
      </c>
      <c r="G112" s="19">
        <v>0</v>
      </c>
      <c r="H112" s="19">
        <v>20</v>
      </c>
      <c r="I112" s="37">
        <v>280</v>
      </c>
      <c r="J112" s="38">
        <v>237.34</v>
      </c>
      <c r="K112" s="39">
        <v>0.26</v>
      </c>
      <c r="L112" s="40">
        <v>12.78</v>
      </c>
      <c r="M112" s="41">
        <v>250.38</v>
      </c>
      <c r="N112" s="42">
        <f t="shared" si="8"/>
        <v>0.912846153846154</v>
      </c>
      <c r="O112" s="43"/>
      <c r="P112" s="43">
        <f t="shared" si="10"/>
        <v>0.639</v>
      </c>
      <c r="Q112" s="51">
        <f t="shared" si="11"/>
        <v>0.894214285714286</v>
      </c>
    </row>
    <row r="113" spans="1:17">
      <c r="A113" s="18" t="s">
        <v>134</v>
      </c>
      <c r="B113" s="19" t="s">
        <v>144</v>
      </c>
      <c r="C113" s="19" t="s">
        <v>147</v>
      </c>
      <c r="D113" s="20">
        <v>41415</v>
      </c>
      <c r="E113" s="21">
        <v>12</v>
      </c>
      <c r="F113" s="18">
        <v>110</v>
      </c>
      <c r="G113" s="19">
        <v>2</v>
      </c>
      <c r="H113" s="19">
        <v>8</v>
      </c>
      <c r="I113" s="37">
        <v>120</v>
      </c>
      <c r="J113" s="38">
        <v>94.95</v>
      </c>
      <c r="K113" s="39">
        <v>0.02</v>
      </c>
      <c r="L113" s="40">
        <v>5.66</v>
      </c>
      <c r="M113" s="41">
        <v>100.63</v>
      </c>
      <c r="N113" s="42">
        <f t="shared" si="8"/>
        <v>0.863181818181818</v>
      </c>
      <c r="O113" s="43">
        <f t="shared" si="9"/>
        <v>0.01</v>
      </c>
      <c r="P113" s="43">
        <f t="shared" si="10"/>
        <v>0.7075</v>
      </c>
      <c r="Q113" s="51">
        <f t="shared" si="11"/>
        <v>0.838583333333333</v>
      </c>
    </row>
    <row r="114" spans="1:17">
      <c r="A114" s="18" t="s">
        <v>134</v>
      </c>
      <c r="B114" s="19" t="s">
        <v>144</v>
      </c>
      <c r="C114" s="19" t="s">
        <v>148</v>
      </c>
      <c r="D114" s="20">
        <v>45047</v>
      </c>
      <c r="E114" s="21">
        <v>12</v>
      </c>
      <c r="F114" s="18">
        <v>110</v>
      </c>
      <c r="G114" s="19">
        <v>2</v>
      </c>
      <c r="H114" s="19">
        <v>8</v>
      </c>
      <c r="I114" s="37">
        <v>120</v>
      </c>
      <c r="J114" s="38">
        <v>51.26</v>
      </c>
      <c r="K114" s="39">
        <v>10.19</v>
      </c>
      <c r="L114" s="40">
        <v>19.2</v>
      </c>
      <c r="M114" s="41">
        <v>80.65</v>
      </c>
      <c r="N114" s="42">
        <f t="shared" si="8"/>
        <v>0.466</v>
      </c>
      <c r="O114" s="43">
        <f t="shared" si="9"/>
        <v>5.095</v>
      </c>
      <c r="P114" s="43">
        <f t="shared" si="10"/>
        <v>2.4</v>
      </c>
      <c r="Q114" s="51">
        <f t="shared" si="11"/>
        <v>0.672083333333333</v>
      </c>
    </row>
    <row r="115" spans="1:17">
      <c r="A115" s="24" t="s">
        <v>134</v>
      </c>
      <c r="B115" s="25" t="s">
        <v>149</v>
      </c>
      <c r="C115" s="26"/>
      <c r="D115" s="26"/>
      <c r="E115" s="27">
        <v>12</v>
      </c>
      <c r="F115" s="28">
        <v>550</v>
      </c>
      <c r="G115" s="26">
        <v>60</v>
      </c>
      <c r="H115" s="26">
        <v>70</v>
      </c>
      <c r="I115" s="27">
        <v>680</v>
      </c>
      <c r="J115" s="44">
        <v>458.55</v>
      </c>
      <c r="K115" s="45">
        <v>58.04</v>
      </c>
      <c r="L115" s="46">
        <v>79.01</v>
      </c>
      <c r="M115" s="47">
        <v>595.6</v>
      </c>
      <c r="N115" s="48">
        <f t="shared" si="8"/>
        <v>0.833727272727273</v>
      </c>
      <c r="O115" s="49">
        <f t="shared" si="9"/>
        <v>0.967333333333333</v>
      </c>
      <c r="P115" s="49">
        <f t="shared" si="10"/>
        <v>1.12871428571429</v>
      </c>
      <c r="Q115" s="52">
        <f t="shared" si="11"/>
        <v>0.875882352941177</v>
      </c>
    </row>
    <row r="116" spans="1:17">
      <c r="A116" s="18" t="s">
        <v>134</v>
      </c>
      <c r="B116" s="19" t="s">
        <v>150</v>
      </c>
      <c r="C116" s="19" t="s">
        <v>151</v>
      </c>
      <c r="D116" s="20">
        <v>41382</v>
      </c>
      <c r="E116" s="21">
        <v>12</v>
      </c>
      <c r="F116" s="18">
        <v>100</v>
      </c>
      <c r="G116" s="19">
        <v>10</v>
      </c>
      <c r="H116" s="19">
        <v>10</v>
      </c>
      <c r="I116" s="37">
        <v>120</v>
      </c>
      <c r="J116" s="38">
        <v>69.09</v>
      </c>
      <c r="K116" s="39">
        <v>0.15</v>
      </c>
      <c r="L116" s="40">
        <v>14.28</v>
      </c>
      <c r="M116" s="41">
        <v>83.52</v>
      </c>
      <c r="N116" s="42">
        <f t="shared" si="8"/>
        <v>0.6909</v>
      </c>
      <c r="O116" s="43">
        <f t="shared" si="9"/>
        <v>0.015</v>
      </c>
      <c r="P116" s="43">
        <f t="shared" si="10"/>
        <v>1.428</v>
      </c>
      <c r="Q116" s="51">
        <f t="shared" si="11"/>
        <v>0.696</v>
      </c>
    </row>
    <row r="117" spans="1:17">
      <c r="A117" s="18" t="s">
        <v>134</v>
      </c>
      <c r="B117" s="19" t="s">
        <v>150</v>
      </c>
      <c r="C117" s="19" t="s">
        <v>152</v>
      </c>
      <c r="D117" s="20">
        <v>44168</v>
      </c>
      <c r="E117" s="21">
        <v>12</v>
      </c>
      <c r="F117" s="18">
        <v>100</v>
      </c>
      <c r="G117" s="19">
        <v>10</v>
      </c>
      <c r="H117" s="19">
        <v>10</v>
      </c>
      <c r="I117" s="37">
        <v>120</v>
      </c>
      <c r="J117" s="38">
        <v>47.82</v>
      </c>
      <c r="K117" s="39">
        <v>2.79</v>
      </c>
      <c r="L117" s="40">
        <v>3.46</v>
      </c>
      <c r="M117" s="41">
        <v>54.07</v>
      </c>
      <c r="N117" s="42">
        <f t="shared" si="8"/>
        <v>0.4782</v>
      </c>
      <c r="O117" s="43">
        <f t="shared" si="9"/>
        <v>0.279</v>
      </c>
      <c r="P117" s="43">
        <f t="shared" si="10"/>
        <v>0.346</v>
      </c>
      <c r="Q117" s="51">
        <f t="shared" si="11"/>
        <v>0.450583333333333</v>
      </c>
    </row>
    <row r="118" spans="1:17">
      <c r="A118" s="18" t="s">
        <v>134</v>
      </c>
      <c r="B118" s="19" t="s">
        <v>150</v>
      </c>
      <c r="C118" s="19" t="s">
        <v>153</v>
      </c>
      <c r="D118" s="20">
        <v>45140</v>
      </c>
      <c r="E118" s="21">
        <v>12</v>
      </c>
      <c r="F118" s="18">
        <v>90</v>
      </c>
      <c r="G118" s="19">
        <v>10</v>
      </c>
      <c r="H118" s="19">
        <v>20</v>
      </c>
      <c r="I118" s="37">
        <v>120</v>
      </c>
      <c r="J118" s="38">
        <v>97.72</v>
      </c>
      <c r="K118" s="39">
        <v>16.16</v>
      </c>
      <c r="L118" s="40">
        <v>40.01</v>
      </c>
      <c r="M118" s="41">
        <v>153.89</v>
      </c>
      <c r="N118" s="42">
        <f t="shared" si="8"/>
        <v>1.08577777777778</v>
      </c>
      <c r="O118" s="43">
        <f t="shared" si="9"/>
        <v>1.616</v>
      </c>
      <c r="P118" s="43">
        <f t="shared" si="10"/>
        <v>2.0005</v>
      </c>
      <c r="Q118" s="51">
        <f t="shared" si="11"/>
        <v>1.28241666666667</v>
      </c>
    </row>
    <row r="119" spans="1:17">
      <c r="A119" s="24" t="s">
        <v>134</v>
      </c>
      <c r="B119" s="25" t="s">
        <v>154</v>
      </c>
      <c r="C119" s="26"/>
      <c r="D119" s="26"/>
      <c r="E119" s="27">
        <v>12</v>
      </c>
      <c r="F119" s="28">
        <v>290</v>
      </c>
      <c r="G119" s="26">
        <v>30</v>
      </c>
      <c r="H119" s="26">
        <v>40</v>
      </c>
      <c r="I119" s="27">
        <v>360</v>
      </c>
      <c r="J119" s="44">
        <v>214.63</v>
      </c>
      <c r="K119" s="45">
        <v>19.11</v>
      </c>
      <c r="L119" s="46">
        <v>57.75</v>
      </c>
      <c r="M119" s="47">
        <v>291.49</v>
      </c>
      <c r="N119" s="48">
        <f t="shared" si="8"/>
        <v>0.740103448275862</v>
      </c>
      <c r="O119" s="49">
        <f t="shared" si="9"/>
        <v>0.637</v>
      </c>
      <c r="P119" s="49">
        <f t="shared" si="10"/>
        <v>1.44375</v>
      </c>
      <c r="Q119" s="52">
        <f t="shared" si="11"/>
        <v>0.809694444444444</v>
      </c>
    </row>
    <row r="120" spans="1:17">
      <c r="A120" s="18" t="s">
        <v>134</v>
      </c>
      <c r="B120" s="19" t="s">
        <v>155</v>
      </c>
      <c r="C120" s="19" t="s">
        <v>156</v>
      </c>
      <c r="D120" s="20">
        <v>42179</v>
      </c>
      <c r="E120" s="21">
        <v>12</v>
      </c>
      <c r="F120" s="18">
        <v>207</v>
      </c>
      <c r="G120" s="19">
        <v>4</v>
      </c>
      <c r="H120" s="19">
        <v>18</v>
      </c>
      <c r="I120" s="37">
        <v>229</v>
      </c>
      <c r="J120" s="38">
        <v>177.6</v>
      </c>
      <c r="K120" s="39">
        <v>1.33</v>
      </c>
      <c r="L120" s="40">
        <v>15.17</v>
      </c>
      <c r="M120" s="41">
        <v>194.1</v>
      </c>
      <c r="N120" s="42">
        <f t="shared" si="8"/>
        <v>0.857971014492754</v>
      </c>
      <c r="O120" s="43">
        <f t="shared" si="9"/>
        <v>0.3325</v>
      </c>
      <c r="P120" s="43">
        <f t="shared" si="10"/>
        <v>0.842777777777778</v>
      </c>
      <c r="Q120" s="51">
        <f t="shared" si="11"/>
        <v>0.847598253275109</v>
      </c>
    </row>
    <row r="121" spans="1:17">
      <c r="A121" s="18" t="s">
        <v>134</v>
      </c>
      <c r="B121" s="19" t="s">
        <v>155</v>
      </c>
      <c r="C121" s="19" t="s">
        <v>157</v>
      </c>
      <c r="D121" s="20">
        <v>42326</v>
      </c>
      <c r="E121" s="21">
        <v>12</v>
      </c>
      <c r="F121" s="18">
        <v>245</v>
      </c>
      <c r="G121" s="19">
        <v>61</v>
      </c>
      <c r="H121" s="19">
        <v>40</v>
      </c>
      <c r="I121" s="37">
        <v>346</v>
      </c>
      <c r="J121" s="38">
        <v>139.16</v>
      </c>
      <c r="K121" s="39">
        <v>96.57</v>
      </c>
      <c r="L121" s="40">
        <v>36.48</v>
      </c>
      <c r="M121" s="41">
        <v>272.21</v>
      </c>
      <c r="N121" s="42">
        <f t="shared" si="8"/>
        <v>0.568</v>
      </c>
      <c r="O121" s="43">
        <f t="shared" si="9"/>
        <v>1.58311475409836</v>
      </c>
      <c r="P121" s="43">
        <f t="shared" si="10"/>
        <v>0.912</v>
      </c>
      <c r="Q121" s="51">
        <f t="shared" si="11"/>
        <v>0.786734104046243</v>
      </c>
    </row>
    <row r="122" spans="1:17">
      <c r="A122" s="18" t="s">
        <v>134</v>
      </c>
      <c r="B122" s="19" t="s">
        <v>155</v>
      </c>
      <c r="C122" s="19" t="s">
        <v>158</v>
      </c>
      <c r="D122" s="20">
        <v>42061</v>
      </c>
      <c r="E122" s="21">
        <v>12</v>
      </c>
      <c r="F122" s="18">
        <v>160</v>
      </c>
      <c r="G122" s="19">
        <v>1</v>
      </c>
      <c r="H122" s="19">
        <v>8</v>
      </c>
      <c r="I122" s="37">
        <v>169</v>
      </c>
      <c r="J122" s="38">
        <v>86.56</v>
      </c>
      <c r="K122" s="39">
        <v>0.06</v>
      </c>
      <c r="L122" s="40">
        <v>6.02</v>
      </c>
      <c r="M122" s="41">
        <v>92.64</v>
      </c>
      <c r="N122" s="42">
        <f t="shared" si="8"/>
        <v>0.541</v>
      </c>
      <c r="O122" s="43">
        <f t="shared" si="9"/>
        <v>0.06</v>
      </c>
      <c r="P122" s="43">
        <f t="shared" si="10"/>
        <v>0.7525</v>
      </c>
      <c r="Q122" s="51">
        <f t="shared" si="11"/>
        <v>0.548165680473373</v>
      </c>
    </row>
    <row r="123" spans="1:17">
      <c r="A123" s="18" t="s">
        <v>134</v>
      </c>
      <c r="B123" s="19" t="s">
        <v>155</v>
      </c>
      <c r="C123" s="19" t="s">
        <v>159</v>
      </c>
      <c r="D123" s="20">
        <v>42636</v>
      </c>
      <c r="E123" s="21">
        <v>12</v>
      </c>
      <c r="F123" s="18">
        <v>160</v>
      </c>
      <c r="G123" s="19">
        <v>1</v>
      </c>
      <c r="H123" s="19">
        <v>8</v>
      </c>
      <c r="I123" s="37">
        <v>169</v>
      </c>
      <c r="J123" s="38">
        <v>163.65</v>
      </c>
      <c r="K123" s="39">
        <v>0.6</v>
      </c>
      <c r="L123" s="40">
        <v>10.85</v>
      </c>
      <c r="M123" s="41">
        <v>175.1</v>
      </c>
      <c r="N123" s="42">
        <f t="shared" si="8"/>
        <v>1.0228125</v>
      </c>
      <c r="O123" s="43">
        <f t="shared" si="9"/>
        <v>0.6</v>
      </c>
      <c r="P123" s="43">
        <f t="shared" si="10"/>
        <v>1.35625</v>
      </c>
      <c r="Q123" s="51">
        <f t="shared" si="11"/>
        <v>1.03609467455621</v>
      </c>
    </row>
    <row r="124" spans="1:17">
      <c r="A124" s="18" t="s">
        <v>134</v>
      </c>
      <c r="B124" s="19" t="s">
        <v>155</v>
      </c>
      <c r="C124" s="19" t="s">
        <v>160</v>
      </c>
      <c r="D124" s="20">
        <v>44299</v>
      </c>
      <c r="E124" s="21">
        <v>12</v>
      </c>
      <c r="F124" s="18">
        <v>350</v>
      </c>
      <c r="G124" s="19">
        <v>1</v>
      </c>
      <c r="H124" s="19">
        <v>36</v>
      </c>
      <c r="I124" s="37">
        <v>387</v>
      </c>
      <c r="J124" s="38">
        <v>312.23</v>
      </c>
      <c r="K124" s="39">
        <v>0.43</v>
      </c>
      <c r="L124" s="40">
        <v>20.16</v>
      </c>
      <c r="M124" s="41">
        <v>332.82</v>
      </c>
      <c r="N124" s="42">
        <f t="shared" si="8"/>
        <v>0.892085714285714</v>
      </c>
      <c r="O124" s="43">
        <f t="shared" si="9"/>
        <v>0.43</v>
      </c>
      <c r="P124" s="43">
        <f t="shared" si="10"/>
        <v>0.56</v>
      </c>
      <c r="Q124" s="51">
        <f t="shared" si="11"/>
        <v>0.86</v>
      </c>
    </row>
    <row r="125" spans="1:17">
      <c r="A125" s="24" t="s">
        <v>134</v>
      </c>
      <c r="B125" s="25" t="s">
        <v>161</v>
      </c>
      <c r="C125" s="26"/>
      <c r="D125" s="26"/>
      <c r="E125" s="27">
        <v>12</v>
      </c>
      <c r="F125" s="28">
        <v>1200</v>
      </c>
      <c r="G125" s="26">
        <v>70</v>
      </c>
      <c r="H125" s="26">
        <v>130</v>
      </c>
      <c r="I125" s="27">
        <v>1400</v>
      </c>
      <c r="J125" s="44">
        <v>914.76</v>
      </c>
      <c r="K125" s="45">
        <v>99.61</v>
      </c>
      <c r="L125" s="46">
        <v>107.23</v>
      </c>
      <c r="M125" s="47">
        <v>1121.6</v>
      </c>
      <c r="N125" s="48">
        <f t="shared" si="8"/>
        <v>0.7623</v>
      </c>
      <c r="O125" s="49">
        <f t="shared" si="9"/>
        <v>1.423</v>
      </c>
      <c r="P125" s="49">
        <f t="shared" si="10"/>
        <v>0.824846153846154</v>
      </c>
      <c r="Q125" s="52">
        <f t="shared" si="11"/>
        <v>0.801142857142857</v>
      </c>
    </row>
    <row r="126" spans="1:17">
      <c r="A126" s="18" t="s">
        <v>134</v>
      </c>
      <c r="B126" s="19" t="s">
        <v>162</v>
      </c>
      <c r="C126" s="19" t="s">
        <v>163</v>
      </c>
      <c r="D126" s="20">
        <v>42103</v>
      </c>
      <c r="E126" s="21">
        <v>12</v>
      </c>
      <c r="F126" s="18">
        <v>575</v>
      </c>
      <c r="G126" s="19">
        <v>30</v>
      </c>
      <c r="H126" s="19">
        <v>5</v>
      </c>
      <c r="I126" s="37">
        <v>610</v>
      </c>
      <c r="J126" s="38">
        <v>382.63</v>
      </c>
      <c r="K126" s="39">
        <v>2.01</v>
      </c>
      <c r="L126" s="40">
        <v>12.42</v>
      </c>
      <c r="M126" s="41">
        <v>397.06</v>
      </c>
      <c r="N126" s="42">
        <f t="shared" si="8"/>
        <v>0.66544347826087</v>
      </c>
      <c r="O126" s="43">
        <f t="shared" si="9"/>
        <v>0.067</v>
      </c>
      <c r="P126" s="43">
        <f t="shared" si="10"/>
        <v>2.484</v>
      </c>
      <c r="Q126" s="51">
        <f t="shared" si="11"/>
        <v>0.650918032786885</v>
      </c>
    </row>
    <row r="127" spans="1:17">
      <c r="A127" s="18" t="s">
        <v>134</v>
      </c>
      <c r="B127" s="19" t="s">
        <v>162</v>
      </c>
      <c r="C127" s="19" t="s">
        <v>164</v>
      </c>
      <c r="D127" s="20">
        <v>42207</v>
      </c>
      <c r="E127" s="21">
        <v>12</v>
      </c>
      <c r="F127" s="18">
        <v>400</v>
      </c>
      <c r="G127" s="19">
        <v>60</v>
      </c>
      <c r="H127" s="19">
        <v>60</v>
      </c>
      <c r="I127" s="37">
        <v>520</v>
      </c>
      <c r="J127" s="38">
        <v>317.05</v>
      </c>
      <c r="K127" s="39">
        <v>18.35</v>
      </c>
      <c r="L127" s="40">
        <v>36.17</v>
      </c>
      <c r="M127" s="41">
        <v>371.57</v>
      </c>
      <c r="N127" s="42">
        <f t="shared" si="8"/>
        <v>0.792625</v>
      </c>
      <c r="O127" s="43">
        <f t="shared" si="9"/>
        <v>0.305833333333333</v>
      </c>
      <c r="P127" s="43">
        <f t="shared" si="10"/>
        <v>0.602833333333333</v>
      </c>
      <c r="Q127" s="51">
        <f t="shared" si="11"/>
        <v>0.714557692307692</v>
      </c>
    </row>
    <row r="128" spans="1:17">
      <c r="A128" s="18" t="s">
        <v>134</v>
      </c>
      <c r="B128" s="19" t="s">
        <v>162</v>
      </c>
      <c r="C128" s="19" t="s">
        <v>165</v>
      </c>
      <c r="D128" s="20">
        <v>42625</v>
      </c>
      <c r="E128" s="21">
        <v>12</v>
      </c>
      <c r="F128" s="18">
        <v>155</v>
      </c>
      <c r="G128" s="19">
        <v>5</v>
      </c>
      <c r="H128" s="19">
        <v>20</v>
      </c>
      <c r="I128" s="37">
        <v>180</v>
      </c>
      <c r="J128" s="38">
        <v>95.18</v>
      </c>
      <c r="K128" s="39">
        <v>12.98</v>
      </c>
      <c r="L128" s="40">
        <v>6.84</v>
      </c>
      <c r="M128" s="41">
        <v>115</v>
      </c>
      <c r="N128" s="42">
        <f t="shared" si="8"/>
        <v>0.614064516129032</v>
      </c>
      <c r="O128" s="43">
        <f t="shared" si="9"/>
        <v>2.596</v>
      </c>
      <c r="P128" s="43">
        <f t="shared" si="10"/>
        <v>0.342</v>
      </c>
      <c r="Q128" s="51">
        <f t="shared" si="11"/>
        <v>0.638888888888889</v>
      </c>
    </row>
    <row r="129" spans="1:17">
      <c r="A129" s="18" t="s">
        <v>134</v>
      </c>
      <c r="B129" s="19" t="s">
        <v>162</v>
      </c>
      <c r="C129" s="19" t="s">
        <v>166</v>
      </c>
      <c r="D129" s="20">
        <v>42776</v>
      </c>
      <c r="E129" s="21">
        <v>12</v>
      </c>
      <c r="F129" s="18">
        <v>190</v>
      </c>
      <c r="G129" s="19">
        <v>5</v>
      </c>
      <c r="H129" s="19">
        <v>15</v>
      </c>
      <c r="I129" s="37">
        <v>210</v>
      </c>
      <c r="J129" s="38">
        <v>205.17</v>
      </c>
      <c r="K129" s="39">
        <v>0.35</v>
      </c>
      <c r="L129" s="40">
        <v>5.38</v>
      </c>
      <c r="M129" s="41">
        <v>210.9</v>
      </c>
      <c r="N129" s="42">
        <f t="shared" si="8"/>
        <v>1.07984210526316</v>
      </c>
      <c r="O129" s="43">
        <f t="shared" si="9"/>
        <v>0.07</v>
      </c>
      <c r="P129" s="43">
        <f t="shared" si="10"/>
        <v>0.358666666666667</v>
      </c>
      <c r="Q129" s="51">
        <f t="shared" si="11"/>
        <v>1.00428571428571</v>
      </c>
    </row>
    <row r="130" spans="1:17">
      <c r="A130" s="24" t="s">
        <v>134</v>
      </c>
      <c r="B130" s="25" t="s">
        <v>167</v>
      </c>
      <c r="C130" s="26"/>
      <c r="D130" s="26"/>
      <c r="E130" s="27">
        <v>12</v>
      </c>
      <c r="F130" s="28">
        <v>1320</v>
      </c>
      <c r="G130" s="26">
        <v>100</v>
      </c>
      <c r="H130" s="26">
        <v>100</v>
      </c>
      <c r="I130" s="27">
        <v>1520</v>
      </c>
      <c r="J130" s="44">
        <v>999.99</v>
      </c>
      <c r="K130" s="45">
        <v>33.67</v>
      </c>
      <c r="L130" s="46">
        <v>60.81</v>
      </c>
      <c r="M130" s="47">
        <v>1094.47</v>
      </c>
      <c r="N130" s="48">
        <f t="shared" si="8"/>
        <v>0.757568181818182</v>
      </c>
      <c r="O130" s="49">
        <f t="shared" si="9"/>
        <v>0.3367</v>
      </c>
      <c r="P130" s="49">
        <f t="shared" si="10"/>
        <v>0.6081</v>
      </c>
      <c r="Q130" s="52">
        <f t="shared" si="11"/>
        <v>0.720046052631579</v>
      </c>
    </row>
    <row r="131" spans="1:17">
      <c r="A131" s="18" t="s">
        <v>134</v>
      </c>
      <c r="B131" s="19" t="s">
        <v>168</v>
      </c>
      <c r="C131" s="19" t="s">
        <v>169</v>
      </c>
      <c r="D131" s="20">
        <v>41089</v>
      </c>
      <c r="E131" s="21">
        <v>12</v>
      </c>
      <c r="F131" s="18">
        <v>50</v>
      </c>
      <c r="G131" s="19">
        <v>20</v>
      </c>
      <c r="H131" s="19">
        <v>30</v>
      </c>
      <c r="I131" s="37">
        <v>100</v>
      </c>
      <c r="J131" s="38">
        <v>26.15</v>
      </c>
      <c r="K131" s="39">
        <v>0.48</v>
      </c>
      <c r="L131" s="40">
        <v>39.72</v>
      </c>
      <c r="M131" s="41">
        <v>66.35</v>
      </c>
      <c r="N131" s="42">
        <f t="shared" si="8"/>
        <v>0.523</v>
      </c>
      <c r="O131" s="43">
        <f t="shared" si="9"/>
        <v>0.024</v>
      </c>
      <c r="P131" s="43">
        <f t="shared" si="10"/>
        <v>1.324</v>
      </c>
      <c r="Q131" s="51">
        <f t="shared" si="11"/>
        <v>0.6635</v>
      </c>
    </row>
    <row r="132" spans="1:17">
      <c r="A132" s="18" t="s">
        <v>134</v>
      </c>
      <c r="B132" s="19" t="s">
        <v>168</v>
      </c>
      <c r="C132" s="19" t="s">
        <v>170</v>
      </c>
      <c r="D132" s="20">
        <v>42125</v>
      </c>
      <c r="E132" s="21">
        <v>12</v>
      </c>
      <c r="F132" s="18">
        <v>258</v>
      </c>
      <c r="G132" s="19">
        <v>2</v>
      </c>
      <c r="H132" s="19">
        <v>10</v>
      </c>
      <c r="I132" s="37">
        <v>270</v>
      </c>
      <c r="J132" s="38">
        <v>311.45</v>
      </c>
      <c r="K132" s="39">
        <v>3.97</v>
      </c>
      <c r="L132" s="40">
        <v>13.66</v>
      </c>
      <c r="M132" s="41">
        <v>329.08</v>
      </c>
      <c r="N132" s="42">
        <f t="shared" si="8"/>
        <v>1.20717054263566</v>
      </c>
      <c r="O132" s="43">
        <f t="shared" si="9"/>
        <v>1.985</v>
      </c>
      <c r="P132" s="43">
        <f t="shared" si="10"/>
        <v>1.366</v>
      </c>
      <c r="Q132" s="51">
        <f t="shared" si="11"/>
        <v>1.21881481481482</v>
      </c>
    </row>
    <row r="133" spans="1:17">
      <c r="A133" s="18" t="s">
        <v>134</v>
      </c>
      <c r="B133" s="19" t="s">
        <v>168</v>
      </c>
      <c r="C133" s="19" t="s">
        <v>171</v>
      </c>
      <c r="D133" s="20">
        <v>44558</v>
      </c>
      <c r="E133" s="21">
        <v>12</v>
      </c>
      <c r="F133" s="18">
        <v>46</v>
      </c>
      <c r="G133" s="19">
        <v>24</v>
      </c>
      <c r="H133" s="19">
        <v>30</v>
      </c>
      <c r="I133" s="37">
        <v>100</v>
      </c>
      <c r="J133" s="38">
        <v>5.72</v>
      </c>
      <c r="K133" s="39">
        <v>42.6</v>
      </c>
      <c r="L133" s="40">
        <v>46.76</v>
      </c>
      <c r="M133" s="41">
        <v>95.08</v>
      </c>
      <c r="N133" s="42">
        <f t="shared" si="8"/>
        <v>0.124347826086957</v>
      </c>
      <c r="O133" s="43">
        <f t="shared" si="9"/>
        <v>1.775</v>
      </c>
      <c r="P133" s="43">
        <f t="shared" si="10"/>
        <v>1.55866666666667</v>
      </c>
      <c r="Q133" s="51">
        <f t="shared" si="11"/>
        <v>0.9508</v>
      </c>
    </row>
    <row r="134" spans="1:17">
      <c r="A134" s="18" t="s">
        <v>134</v>
      </c>
      <c r="B134" s="19" t="s">
        <v>168</v>
      </c>
      <c r="C134" s="19" t="s">
        <v>172</v>
      </c>
      <c r="D134" s="20">
        <v>43102</v>
      </c>
      <c r="E134" s="21">
        <v>12</v>
      </c>
      <c r="F134" s="18">
        <v>46</v>
      </c>
      <c r="G134" s="19">
        <v>24</v>
      </c>
      <c r="H134" s="19">
        <v>30</v>
      </c>
      <c r="I134" s="37">
        <v>100</v>
      </c>
      <c r="J134" s="38">
        <v>50.55</v>
      </c>
      <c r="K134" s="39">
        <v>5.9</v>
      </c>
      <c r="L134" s="40">
        <v>42.35</v>
      </c>
      <c r="M134" s="41">
        <v>98.8</v>
      </c>
      <c r="N134" s="42">
        <f t="shared" si="8"/>
        <v>1.09891304347826</v>
      </c>
      <c r="O134" s="43">
        <f t="shared" si="9"/>
        <v>0.245833333333333</v>
      </c>
      <c r="P134" s="43">
        <f t="shared" si="10"/>
        <v>1.41166666666667</v>
      </c>
      <c r="Q134" s="51">
        <f t="shared" si="11"/>
        <v>0.988</v>
      </c>
    </row>
    <row r="135" spans="1:17">
      <c r="A135" s="24" t="s">
        <v>134</v>
      </c>
      <c r="B135" s="25" t="s">
        <v>173</v>
      </c>
      <c r="C135" s="26"/>
      <c r="D135" s="26"/>
      <c r="E135" s="27">
        <v>12</v>
      </c>
      <c r="F135" s="28">
        <v>400</v>
      </c>
      <c r="G135" s="26">
        <v>70</v>
      </c>
      <c r="H135" s="26">
        <v>100</v>
      </c>
      <c r="I135" s="27">
        <v>570</v>
      </c>
      <c r="J135" s="44">
        <v>396.49</v>
      </c>
      <c r="K135" s="45">
        <v>53.3</v>
      </c>
      <c r="L135" s="46">
        <v>142.73</v>
      </c>
      <c r="M135" s="47">
        <v>592.52</v>
      </c>
      <c r="N135" s="48">
        <f t="shared" si="8"/>
        <v>0.991225</v>
      </c>
      <c r="O135" s="49">
        <f t="shared" si="9"/>
        <v>0.761428571428571</v>
      </c>
      <c r="P135" s="49">
        <f t="shared" si="10"/>
        <v>1.4273</v>
      </c>
      <c r="Q135" s="52">
        <f t="shared" si="11"/>
        <v>1.03950877192982</v>
      </c>
    </row>
    <row r="136" spans="1:17">
      <c r="A136" s="18" t="s">
        <v>134</v>
      </c>
      <c r="B136" s="19" t="s">
        <v>174</v>
      </c>
      <c r="C136" s="19" t="s">
        <v>175</v>
      </c>
      <c r="D136" s="20">
        <v>38537</v>
      </c>
      <c r="E136" s="21">
        <v>12</v>
      </c>
      <c r="F136" s="18">
        <v>100</v>
      </c>
      <c r="G136" s="19">
        <v>10</v>
      </c>
      <c r="H136" s="19">
        <v>10</v>
      </c>
      <c r="I136" s="37">
        <v>120</v>
      </c>
      <c r="J136" s="38">
        <v>319.09</v>
      </c>
      <c r="K136" s="39">
        <v>2.41</v>
      </c>
      <c r="L136" s="40">
        <v>11.11</v>
      </c>
      <c r="M136" s="41">
        <v>332.61</v>
      </c>
      <c r="N136" s="42">
        <f t="shared" si="8"/>
        <v>3.1909</v>
      </c>
      <c r="O136" s="43">
        <f t="shared" si="9"/>
        <v>0.241</v>
      </c>
      <c r="P136" s="43">
        <f t="shared" si="10"/>
        <v>1.111</v>
      </c>
      <c r="Q136" s="51">
        <f t="shared" si="11"/>
        <v>2.77175</v>
      </c>
    </row>
    <row r="137" spans="1:17">
      <c r="A137" s="18" t="s">
        <v>134</v>
      </c>
      <c r="B137" s="19" t="s">
        <v>174</v>
      </c>
      <c r="C137" s="19" t="s">
        <v>176</v>
      </c>
      <c r="D137" s="20">
        <v>41358</v>
      </c>
      <c r="E137" s="21">
        <v>12</v>
      </c>
      <c r="F137" s="18">
        <v>200</v>
      </c>
      <c r="G137" s="19">
        <v>10</v>
      </c>
      <c r="H137" s="19">
        <v>10</v>
      </c>
      <c r="I137" s="37">
        <v>220</v>
      </c>
      <c r="J137" s="38">
        <v>160.71</v>
      </c>
      <c r="K137" s="39">
        <v>2.82</v>
      </c>
      <c r="L137" s="40">
        <v>3.16</v>
      </c>
      <c r="M137" s="41">
        <v>166.69</v>
      </c>
      <c r="N137" s="42">
        <f t="shared" si="8"/>
        <v>0.80355</v>
      </c>
      <c r="O137" s="43">
        <f t="shared" si="9"/>
        <v>0.282</v>
      </c>
      <c r="P137" s="43">
        <f t="shared" si="10"/>
        <v>0.316</v>
      </c>
      <c r="Q137" s="51">
        <f t="shared" si="11"/>
        <v>0.757681818181818</v>
      </c>
    </row>
    <row r="138" spans="1:17">
      <c r="A138" s="18" t="s">
        <v>134</v>
      </c>
      <c r="B138" s="19" t="s">
        <v>174</v>
      </c>
      <c r="C138" s="19" t="s">
        <v>177</v>
      </c>
      <c r="D138" s="20">
        <v>42858</v>
      </c>
      <c r="E138" s="21">
        <v>12</v>
      </c>
      <c r="F138" s="18">
        <v>200</v>
      </c>
      <c r="G138" s="19">
        <v>0</v>
      </c>
      <c r="H138" s="19">
        <v>5</v>
      </c>
      <c r="I138" s="37">
        <v>205</v>
      </c>
      <c r="J138" s="38">
        <v>228.3</v>
      </c>
      <c r="K138" s="39">
        <v>0.35</v>
      </c>
      <c r="L138" s="40">
        <v>2.22</v>
      </c>
      <c r="M138" s="41">
        <v>230.87</v>
      </c>
      <c r="N138" s="42">
        <f t="shared" si="8"/>
        <v>1.1415</v>
      </c>
      <c r="O138" s="43"/>
      <c r="P138" s="43">
        <f t="shared" si="10"/>
        <v>0.444</v>
      </c>
      <c r="Q138" s="51">
        <f t="shared" si="11"/>
        <v>1.12619512195122</v>
      </c>
    </row>
    <row r="139" spans="1:17">
      <c r="A139" s="18" t="s">
        <v>134</v>
      </c>
      <c r="B139" s="19" t="s">
        <v>174</v>
      </c>
      <c r="C139" s="19" t="s">
        <v>178</v>
      </c>
      <c r="D139" s="20">
        <v>45110</v>
      </c>
      <c r="E139" s="21">
        <v>12</v>
      </c>
      <c r="F139" s="18">
        <v>1190</v>
      </c>
      <c r="G139" s="19">
        <v>0</v>
      </c>
      <c r="H139" s="19">
        <v>15</v>
      </c>
      <c r="I139" s="37">
        <v>1205</v>
      </c>
      <c r="J139" s="38">
        <v>936.33</v>
      </c>
      <c r="K139" s="39">
        <v>0.03</v>
      </c>
      <c r="L139" s="40">
        <v>10.56</v>
      </c>
      <c r="M139" s="41">
        <v>946.92</v>
      </c>
      <c r="N139" s="42">
        <f t="shared" si="8"/>
        <v>0.786831932773109</v>
      </c>
      <c r="O139" s="43"/>
      <c r="P139" s="43">
        <f t="shared" si="10"/>
        <v>0.704</v>
      </c>
      <c r="Q139" s="51">
        <f t="shared" si="11"/>
        <v>0.785825726141079</v>
      </c>
    </row>
    <row r="140" spans="1:17">
      <c r="A140" s="24" t="s">
        <v>134</v>
      </c>
      <c r="B140" s="25" t="s">
        <v>179</v>
      </c>
      <c r="C140" s="26"/>
      <c r="D140" s="26"/>
      <c r="E140" s="27">
        <v>12</v>
      </c>
      <c r="F140" s="28">
        <v>1690</v>
      </c>
      <c r="G140" s="26">
        <v>20</v>
      </c>
      <c r="H140" s="26">
        <v>40</v>
      </c>
      <c r="I140" s="27">
        <v>1750</v>
      </c>
      <c r="J140" s="44">
        <v>1644.43</v>
      </c>
      <c r="K140" s="45">
        <v>5.61</v>
      </c>
      <c r="L140" s="46">
        <v>27.06</v>
      </c>
      <c r="M140" s="47">
        <v>1677.1</v>
      </c>
      <c r="N140" s="48">
        <f t="shared" ref="N140:N203" si="12">J140/$E140*12/F140</f>
        <v>0.97303550295858</v>
      </c>
      <c r="O140" s="49">
        <f t="shared" ref="O140:O203" si="13">K140/$E140*12/G140</f>
        <v>0.2805</v>
      </c>
      <c r="P140" s="49">
        <f t="shared" ref="P140:P203" si="14">L140/$E140*12/H140</f>
        <v>0.6765</v>
      </c>
      <c r="Q140" s="52">
        <f t="shared" ref="Q140:Q203" si="15">M140/$E140*12/I140</f>
        <v>0.958342857142857</v>
      </c>
    </row>
    <row r="141" spans="1:17">
      <c r="A141" s="18" t="s">
        <v>134</v>
      </c>
      <c r="B141" s="19" t="s">
        <v>180</v>
      </c>
      <c r="C141" s="19" t="s">
        <v>181</v>
      </c>
      <c r="D141" s="20">
        <v>41421</v>
      </c>
      <c r="E141" s="21">
        <v>12</v>
      </c>
      <c r="F141" s="18">
        <v>220</v>
      </c>
      <c r="G141" s="19">
        <v>5</v>
      </c>
      <c r="H141" s="19">
        <v>5</v>
      </c>
      <c r="I141" s="37">
        <v>230</v>
      </c>
      <c r="J141" s="38">
        <v>179.16</v>
      </c>
      <c r="K141" s="39">
        <v>2.95</v>
      </c>
      <c r="L141" s="40">
        <v>10.29</v>
      </c>
      <c r="M141" s="41">
        <v>192.4</v>
      </c>
      <c r="N141" s="42">
        <f t="shared" si="12"/>
        <v>0.814363636363636</v>
      </c>
      <c r="O141" s="43">
        <f t="shared" si="13"/>
        <v>0.59</v>
      </c>
      <c r="P141" s="43">
        <f t="shared" si="14"/>
        <v>2.058</v>
      </c>
      <c r="Q141" s="51">
        <f t="shared" si="15"/>
        <v>0.836521739130435</v>
      </c>
    </row>
    <row r="142" spans="1:17">
      <c r="A142" s="18" t="s">
        <v>134</v>
      </c>
      <c r="B142" s="19" t="s">
        <v>180</v>
      </c>
      <c r="C142" s="19" t="s">
        <v>182</v>
      </c>
      <c r="D142" s="20">
        <v>41843</v>
      </c>
      <c r="E142" s="21">
        <v>12</v>
      </c>
      <c r="F142" s="18">
        <v>239</v>
      </c>
      <c r="G142" s="19">
        <v>35</v>
      </c>
      <c r="H142" s="19">
        <v>39</v>
      </c>
      <c r="I142" s="37">
        <v>313</v>
      </c>
      <c r="J142" s="38">
        <v>222.57</v>
      </c>
      <c r="K142" s="39">
        <v>69.81</v>
      </c>
      <c r="L142" s="40">
        <v>22.04</v>
      </c>
      <c r="M142" s="41">
        <v>314.42</v>
      </c>
      <c r="N142" s="42">
        <f t="shared" si="12"/>
        <v>0.931255230125523</v>
      </c>
      <c r="O142" s="43">
        <f t="shared" si="13"/>
        <v>1.99457142857143</v>
      </c>
      <c r="P142" s="43">
        <f t="shared" si="14"/>
        <v>0.565128205128205</v>
      </c>
      <c r="Q142" s="51">
        <f t="shared" si="15"/>
        <v>1.00453674121406</v>
      </c>
    </row>
    <row r="143" spans="1:17">
      <c r="A143" s="18" t="s">
        <v>134</v>
      </c>
      <c r="B143" s="19" t="s">
        <v>180</v>
      </c>
      <c r="C143" s="19" t="s">
        <v>183</v>
      </c>
      <c r="D143" s="20">
        <v>42506</v>
      </c>
      <c r="E143" s="21">
        <v>12</v>
      </c>
      <c r="F143" s="18">
        <v>120</v>
      </c>
      <c r="G143" s="19">
        <v>10</v>
      </c>
      <c r="H143" s="19">
        <v>8</v>
      </c>
      <c r="I143" s="37">
        <v>138</v>
      </c>
      <c r="J143" s="38">
        <v>93.54</v>
      </c>
      <c r="K143" s="39">
        <v>6.49</v>
      </c>
      <c r="L143" s="40">
        <v>4.8</v>
      </c>
      <c r="M143" s="41">
        <v>104.83</v>
      </c>
      <c r="N143" s="42">
        <f t="shared" si="12"/>
        <v>0.7795</v>
      </c>
      <c r="O143" s="43">
        <f t="shared" si="13"/>
        <v>0.649</v>
      </c>
      <c r="P143" s="43">
        <f t="shared" si="14"/>
        <v>0.6</v>
      </c>
      <c r="Q143" s="51">
        <f t="shared" si="15"/>
        <v>0.75963768115942</v>
      </c>
    </row>
    <row r="144" spans="1:17">
      <c r="A144" s="18" t="s">
        <v>134</v>
      </c>
      <c r="B144" s="19" t="s">
        <v>180</v>
      </c>
      <c r="C144" s="19" t="s">
        <v>184</v>
      </c>
      <c r="D144" s="20">
        <v>44748</v>
      </c>
      <c r="E144" s="21">
        <v>12</v>
      </c>
      <c r="F144" s="18">
        <v>251</v>
      </c>
      <c r="G144" s="19">
        <v>0</v>
      </c>
      <c r="H144" s="19">
        <v>18</v>
      </c>
      <c r="I144" s="37">
        <v>269</v>
      </c>
      <c r="J144" s="38">
        <v>219.42</v>
      </c>
      <c r="K144" s="39">
        <v>0.1</v>
      </c>
      <c r="L144" s="40">
        <v>12.82</v>
      </c>
      <c r="M144" s="41">
        <v>232.34</v>
      </c>
      <c r="N144" s="42">
        <f t="shared" si="12"/>
        <v>0.874183266932271</v>
      </c>
      <c r="O144" s="43"/>
      <c r="P144" s="43">
        <f t="shared" si="14"/>
        <v>0.712222222222222</v>
      </c>
      <c r="Q144" s="51">
        <f t="shared" si="15"/>
        <v>0.863717472118959</v>
      </c>
    </row>
    <row r="145" spans="1:17">
      <c r="A145" s="24" t="s">
        <v>134</v>
      </c>
      <c r="B145" s="25" t="s">
        <v>185</v>
      </c>
      <c r="C145" s="26"/>
      <c r="D145" s="26"/>
      <c r="E145" s="27">
        <v>12</v>
      </c>
      <c r="F145" s="28">
        <v>830</v>
      </c>
      <c r="G145" s="26">
        <v>50</v>
      </c>
      <c r="H145" s="26">
        <v>70</v>
      </c>
      <c r="I145" s="27">
        <v>950</v>
      </c>
      <c r="J145" s="44">
        <v>714.69</v>
      </c>
      <c r="K145" s="45">
        <v>79.35</v>
      </c>
      <c r="L145" s="46">
        <v>49.93</v>
      </c>
      <c r="M145" s="47">
        <v>843.97</v>
      </c>
      <c r="N145" s="48">
        <f t="shared" si="12"/>
        <v>0.861072289156627</v>
      </c>
      <c r="O145" s="49">
        <f t="shared" si="13"/>
        <v>1.587</v>
      </c>
      <c r="P145" s="49">
        <f t="shared" si="14"/>
        <v>0.713285714285714</v>
      </c>
      <c r="Q145" s="52">
        <f t="shared" si="15"/>
        <v>0.888389473684211</v>
      </c>
    </row>
    <row r="146" spans="1:17">
      <c r="A146" s="18" t="s">
        <v>134</v>
      </c>
      <c r="B146" s="19" t="s">
        <v>186</v>
      </c>
      <c r="C146" s="19" t="s">
        <v>187</v>
      </c>
      <c r="D146" s="20">
        <v>41267</v>
      </c>
      <c r="E146" s="21">
        <v>12</v>
      </c>
      <c r="F146" s="18">
        <v>165</v>
      </c>
      <c r="G146" s="19">
        <v>0</v>
      </c>
      <c r="H146" s="19">
        <v>5</v>
      </c>
      <c r="I146" s="37">
        <v>170</v>
      </c>
      <c r="J146" s="38">
        <v>110.7</v>
      </c>
      <c r="K146" s="39">
        <v>0.18</v>
      </c>
      <c r="L146" s="40">
        <v>4.76</v>
      </c>
      <c r="M146" s="41">
        <v>115.64</v>
      </c>
      <c r="N146" s="42">
        <f t="shared" si="12"/>
        <v>0.670909090909091</v>
      </c>
      <c r="O146" s="43"/>
      <c r="P146" s="43">
        <f t="shared" si="14"/>
        <v>0.952</v>
      </c>
      <c r="Q146" s="51">
        <f t="shared" si="15"/>
        <v>0.680235294117647</v>
      </c>
    </row>
    <row r="147" spans="1:17">
      <c r="A147" s="18" t="s">
        <v>134</v>
      </c>
      <c r="B147" s="19" t="s">
        <v>186</v>
      </c>
      <c r="C147" s="19" t="s">
        <v>188</v>
      </c>
      <c r="D147" s="20">
        <v>42292</v>
      </c>
      <c r="E147" s="21">
        <v>12</v>
      </c>
      <c r="F147" s="18">
        <v>10</v>
      </c>
      <c r="G147" s="19">
        <v>95</v>
      </c>
      <c r="H147" s="19">
        <v>50</v>
      </c>
      <c r="I147" s="37">
        <v>155</v>
      </c>
      <c r="J147" s="38">
        <v>35.31</v>
      </c>
      <c r="K147" s="39">
        <v>65.79</v>
      </c>
      <c r="L147" s="40">
        <v>96.72</v>
      </c>
      <c r="M147" s="41">
        <v>197.82</v>
      </c>
      <c r="N147" s="42">
        <f t="shared" si="12"/>
        <v>3.531</v>
      </c>
      <c r="O147" s="43">
        <f t="shared" si="13"/>
        <v>0.692526315789474</v>
      </c>
      <c r="P147" s="43">
        <f t="shared" si="14"/>
        <v>1.9344</v>
      </c>
      <c r="Q147" s="51">
        <f t="shared" si="15"/>
        <v>1.27625806451613</v>
      </c>
    </row>
    <row r="148" spans="1:17">
      <c r="A148" s="18" t="s">
        <v>134</v>
      </c>
      <c r="B148" s="19" t="s">
        <v>186</v>
      </c>
      <c r="C148" s="19" t="s">
        <v>189</v>
      </c>
      <c r="D148" s="20">
        <v>43342</v>
      </c>
      <c r="E148" s="21">
        <v>12</v>
      </c>
      <c r="F148" s="18">
        <v>455</v>
      </c>
      <c r="G148" s="19">
        <v>0</v>
      </c>
      <c r="H148" s="19">
        <v>14</v>
      </c>
      <c r="I148" s="37">
        <v>469</v>
      </c>
      <c r="J148" s="38">
        <v>336.66</v>
      </c>
      <c r="K148" s="39">
        <v>0.02</v>
      </c>
      <c r="L148" s="40">
        <v>12.56</v>
      </c>
      <c r="M148" s="41">
        <v>349.24</v>
      </c>
      <c r="N148" s="42">
        <f t="shared" si="12"/>
        <v>0.739912087912088</v>
      </c>
      <c r="O148" s="43"/>
      <c r="P148" s="43">
        <f t="shared" si="14"/>
        <v>0.897142857142857</v>
      </c>
      <c r="Q148" s="51">
        <f t="shared" si="15"/>
        <v>0.744648187633262</v>
      </c>
    </row>
    <row r="149" spans="1:17">
      <c r="A149" s="18" t="s">
        <v>134</v>
      </c>
      <c r="B149" s="19" t="s">
        <v>186</v>
      </c>
      <c r="C149" s="19" t="s">
        <v>190</v>
      </c>
      <c r="D149" s="20">
        <v>44959</v>
      </c>
      <c r="E149" s="21">
        <v>12</v>
      </c>
      <c r="F149" s="18">
        <v>290</v>
      </c>
      <c r="G149" s="19">
        <v>0</v>
      </c>
      <c r="H149" s="19">
        <v>10</v>
      </c>
      <c r="I149" s="37">
        <v>300</v>
      </c>
      <c r="J149" s="38">
        <v>453.87</v>
      </c>
      <c r="K149" s="39">
        <v>0.08</v>
      </c>
      <c r="L149" s="40">
        <v>3.51</v>
      </c>
      <c r="M149" s="41">
        <v>457.46</v>
      </c>
      <c r="N149" s="42">
        <f t="shared" si="12"/>
        <v>1.56506896551724</v>
      </c>
      <c r="O149" s="43"/>
      <c r="P149" s="43">
        <f t="shared" si="14"/>
        <v>0.351</v>
      </c>
      <c r="Q149" s="51">
        <f t="shared" si="15"/>
        <v>1.52486666666667</v>
      </c>
    </row>
    <row r="150" spans="1:17">
      <c r="A150" s="18" t="s">
        <v>134</v>
      </c>
      <c r="B150" s="19" t="s">
        <v>186</v>
      </c>
      <c r="C150" s="19" t="s">
        <v>191</v>
      </c>
      <c r="D150" s="20">
        <v>43972</v>
      </c>
      <c r="E150" s="21">
        <v>12</v>
      </c>
      <c r="F150" s="18">
        <v>120</v>
      </c>
      <c r="G150" s="19">
        <v>5</v>
      </c>
      <c r="H150" s="19">
        <v>3</v>
      </c>
      <c r="I150" s="37">
        <v>128</v>
      </c>
      <c r="J150" s="38">
        <v>179.97</v>
      </c>
      <c r="K150" s="39">
        <v>0.03</v>
      </c>
      <c r="L150" s="40">
        <v>4.39</v>
      </c>
      <c r="M150" s="41">
        <v>184.39</v>
      </c>
      <c r="N150" s="42">
        <f t="shared" si="12"/>
        <v>1.49975</v>
      </c>
      <c r="O150" s="43">
        <f t="shared" si="13"/>
        <v>0.006</v>
      </c>
      <c r="P150" s="43">
        <f t="shared" si="14"/>
        <v>1.46333333333333</v>
      </c>
      <c r="Q150" s="51">
        <f t="shared" si="15"/>
        <v>1.440546875</v>
      </c>
    </row>
    <row r="151" spans="1:17">
      <c r="A151" s="18" t="s">
        <v>134</v>
      </c>
      <c r="B151" s="19" t="s">
        <v>186</v>
      </c>
      <c r="C151" s="19" t="s">
        <v>192</v>
      </c>
      <c r="D151" s="20">
        <v>43991</v>
      </c>
      <c r="E151" s="21">
        <v>12</v>
      </c>
      <c r="F151" s="18">
        <v>117</v>
      </c>
      <c r="G151" s="19">
        <v>0</v>
      </c>
      <c r="H151" s="19">
        <v>3</v>
      </c>
      <c r="I151" s="37">
        <v>120</v>
      </c>
      <c r="J151" s="38">
        <v>95.99</v>
      </c>
      <c r="K151" s="39">
        <v>0.07</v>
      </c>
      <c r="L151" s="40">
        <v>1.22</v>
      </c>
      <c r="M151" s="41">
        <v>97.28</v>
      </c>
      <c r="N151" s="42">
        <f t="shared" si="12"/>
        <v>0.82042735042735</v>
      </c>
      <c r="O151" s="43"/>
      <c r="P151" s="43">
        <f t="shared" si="14"/>
        <v>0.406666666666667</v>
      </c>
      <c r="Q151" s="51">
        <f t="shared" si="15"/>
        <v>0.810666666666667</v>
      </c>
    </row>
    <row r="152" spans="1:17">
      <c r="A152" s="18" t="s">
        <v>134</v>
      </c>
      <c r="B152" s="19" t="s">
        <v>186</v>
      </c>
      <c r="C152" s="19" t="s">
        <v>193</v>
      </c>
      <c r="D152" s="20">
        <v>43696</v>
      </c>
      <c r="E152" s="21">
        <v>12</v>
      </c>
      <c r="F152" s="18">
        <v>253</v>
      </c>
      <c r="G152" s="19">
        <v>0</v>
      </c>
      <c r="H152" s="19">
        <v>5</v>
      </c>
      <c r="I152" s="37">
        <v>258</v>
      </c>
      <c r="J152" s="38">
        <v>145.18</v>
      </c>
      <c r="K152" s="39">
        <v>0</v>
      </c>
      <c r="L152" s="40">
        <v>1.42</v>
      </c>
      <c r="M152" s="41">
        <v>146.6</v>
      </c>
      <c r="N152" s="42">
        <f t="shared" si="12"/>
        <v>0.573833992094862</v>
      </c>
      <c r="O152" s="43"/>
      <c r="P152" s="43">
        <f t="shared" si="14"/>
        <v>0.284</v>
      </c>
      <c r="Q152" s="51">
        <f t="shared" si="15"/>
        <v>0.568217054263566</v>
      </c>
    </row>
    <row r="153" spans="1:17">
      <c r="A153" s="24" t="s">
        <v>134</v>
      </c>
      <c r="B153" s="25" t="s">
        <v>194</v>
      </c>
      <c r="C153" s="26"/>
      <c r="D153" s="26"/>
      <c r="E153" s="27">
        <v>12</v>
      </c>
      <c r="F153" s="28">
        <v>2280</v>
      </c>
      <c r="G153" s="26">
        <v>100</v>
      </c>
      <c r="H153" s="26">
        <v>120</v>
      </c>
      <c r="I153" s="27">
        <v>2500</v>
      </c>
      <c r="J153" s="44">
        <v>1565.69</v>
      </c>
      <c r="K153" s="45">
        <v>66.55</v>
      </c>
      <c r="L153" s="46">
        <v>127.46</v>
      </c>
      <c r="M153" s="47">
        <v>1759.7</v>
      </c>
      <c r="N153" s="48">
        <f t="shared" si="12"/>
        <v>0.686706140350877</v>
      </c>
      <c r="O153" s="49">
        <f t="shared" si="13"/>
        <v>0.6655</v>
      </c>
      <c r="P153" s="49">
        <f t="shared" si="14"/>
        <v>1.06216666666667</v>
      </c>
      <c r="Q153" s="52">
        <f t="shared" si="15"/>
        <v>0.70388</v>
      </c>
    </row>
    <row r="154" spans="1:17">
      <c r="A154" s="18" t="s">
        <v>134</v>
      </c>
      <c r="B154" s="19" t="s">
        <v>195</v>
      </c>
      <c r="C154" s="19" t="s">
        <v>196</v>
      </c>
      <c r="D154" s="20">
        <v>41738</v>
      </c>
      <c r="E154" s="21">
        <v>12</v>
      </c>
      <c r="F154" s="18">
        <v>100</v>
      </c>
      <c r="G154" s="19">
        <v>0</v>
      </c>
      <c r="H154" s="19">
        <v>10</v>
      </c>
      <c r="I154" s="37">
        <v>110</v>
      </c>
      <c r="J154" s="38">
        <v>53.49</v>
      </c>
      <c r="K154" s="39">
        <v>0.05</v>
      </c>
      <c r="L154" s="40">
        <v>28.29</v>
      </c>
      <c r="M154" s="41">
        <v>81.83</v>
      </c>
      <c r="N154" s="42">
        <f t="shared" si="12"/>
        <v>0.5349</v>
      </c>
      <c r="O154" s="43"/>
      <c r="P154" s="43">
        <f t="shared" si="14"/>
        <v>2.829</v>
      </c>
      <c r="Q154" s="51">
        <f t="shared" si="15"/>
        <v>0.743909090909091</v>
      </c>
    </row>
    <row r="155" spans="1:17">
      <c r="A155" s="18" t="s">
        <v>134</v>
      </c>
      <c r="B155" s="19" t="s">
        <v>195</v>
      </c>
      <c r="C155" s="19" t="s">
        <v>197</v>
      </c>
      <c r="D155" s="20">
        <v>44022</v>
      </c>
      <c r="E155" s="21">
        <v>12</v>
      </c>
      <c r="F155" s="18">
        <v>135</v>
      </c>
      <c r="G155" s="19">
        <v>5</v>
      </c>
      <c r="H155" s="19">
        <v>10</v>
      </c>
      <c r="I155" s="37">
        <v>150</v>
      </c>
      <c r="J155" s="38">
        <v>182.48</v>
      </c>
      <c r="K155" s="39">
        <v>0.76</v>
      </c>
      <c r="L155" s="40">
        <v>17.57</v>
      </c>
      <c r="M155" s="41">
        <v>200.81</v>
      </c>
      <c r="N155" s="42">
        <f t="shared" si="12"/>
        <v>1.3517037037037</v>
      </c>
      <c r="O155" s="43">
        <f t="shared" si="13"/>
        <v>0.152</v>
      </c>
      <c r="P155" s="43">
        <f t="shared" si="14"/>
        <v>1.757</v>
      </c>
      <c r="Q155" s="51">
        <f t="shared" si="15"/>
        <v>1.33873333333333</v>
      </c>
    </row>
    <row r="156" spans="1:17">
      <c r="A156" s="18" t="s">
        <v>134</v>
      </c>
      <c r="B156" s="19" t="s">
        <v>195</v>
      </c>
      <c r="C156" s="19" t="s">
        <v>198</v>
      </c>
      <c r="D156" s="20">
        <v>44027</v>
      </c>
      <c r="E156" s="21">
        <v>12</v>
      </c>
      <c r="F156" s="18">
        <v>135</v>
      </c>
      <c r="G156" s="19">
        <v>5</v>
      </c>
      <c r="H156" s="19">
        <v>10</v>
      </c>
      <c r="I156" s="37">
        <v>150</v>
      </c>
      <c r="J156" s="38">
        <v>136.97</v>
      </c>
      <c r="K156" s="39">
        <v>0.35</v>
      </c>
      <c r="L156" s="40">
        <v>11.31</v>
      </c>
      <c r="M156" s="41">
        <v>148.63</v>
      </c>
      <c r="N156" s="42">
        <f t="shared" si="12"/>
        <v>1.01459259259259</v>
      </c>
      <c r="O156" s="43">
        <f t="shared" si="13"/>
        <v>0.07</v>
      </c>
      <c r="P156" s="43">
        <f t="shared" si="14"/>
        <v>1.131</v>
      </c>
      <c r="Q156" s="51">
        <f t="shared" si="15"/>
        <v>0.990866666666667</v>
      </c>
    </row>
    <row r="157" spans="1:17">
      <c r="A157" s="18" t="s">
        <v>134</v>
      </c>
      <c r="B157" s="19" t="s">
        <v>195</v>
      </c>
      <c r="C157" s="19" t="s">
        <v>199</v>
      </c>
      <c r="D157" s="20">
        <v>44733</v>
      </c>
      <c r="E157" s="21">
        <v>12</v>
      </c>
      <c r="F157" s="18">
        <v>485</v>
      </c>
      <c r="G157" s="19">
        <v>5</v>
      </c>
      <c r="H157" s="19">
        <v>10</v>
      </c>
      <c r="I157" s="37">
        <v>500</v>
      </c>
      <c r="J157" s="38">
        <v>1520.29</v>
      </c>
      <c r="K157" s="39">
        <v>0.13</v>
      </c>
      <c r="L157" s="40">
        <v>44.84</v>
      </c>
      <c r="M157" s="41">
        <v>1565.26</v>
      </c>
      <c r="N157" s="42">
        <f t="shared" si="12"/>
        <v>3.13461855670103</v>
      </c>
      <c r="O157" s="43">
        <f t="shared" si="13"/>
        <v>0.026</v>
      </c>
      <c r="P157" s="43">
        <f t="shared" si="14"/>
        <v>4.484</v>
      </c>
      <c r="Q157" s="51">
        <f t="shared" si="15"/>
        <v>3.13052</v>
      </c>
    </row>
    <row r="158" spans="1:17">
      <c r="A158" s="18" t="s">
        <v>134</v>
      </c>
      <c r="B158" s="19" t="s">
        <v>195</v>
      </c>
      <c r="C158" s="19" t="s">
        <v>200</v>
      </c>
      <c r="D158" s="20">
        <v>44967</v>
      </c>
      <c r="E158" s="21">
        <v>12</v>
      </c>
      <c r="F158" s="18">
        <v>2525</v>
      </c>
      <c r="G158" s="19">
        <v>5</v>
      </c>
      <c r="H158" s="19">
        <v>20</v>
      </c>
      <c r="I158" s="37">
        <v>2550</v>
      </c>
      <c r="J158" s="38">
        <v>2158.22</v>
      </c>
      <c r="K158" s="39">
        <v>0.04</v>
      </c>
      <c r="L158" s="40">
        <v>52.49</v>
      </c>
      <c r="M158" s="41">
        <v>2210.75</v>
      </c>
      <c r="N158" s="42">
        <f t="shared" si="12"/>
        <v>0.854740594059406</v>
      </c>
      <c r="O158" s="43">
        <f t="shared" si="13"/>
        <v>0.008</v>
      </c>
      <c r="P158" s="43">
        <f t="shared" si="14"/>
        <v>2.6245</v>
      </c>
      <c r="Q158" s="51">
        <f t="shared" si="15"/>
        <v>0.866960784313725</v>
      </c>
    </row>
    <row r="159" spans="1:17">
      <c r="A159" s="18" t="s">
        <v>134</v>
      </c>
      <c r="B159" s="19" t="s">
        <v>195</v>
      </c>
      <c r="C159" s="19" t="s">
        <v>201</v>
      </c>
      <c r="D159" s="20">
        <v>43048</v>
      </c>
      <c r="E159" s="21">
        <v>12</v>
      </c>
      <c r="F159" s="18">
        <v>180</v>
      </c>
      <c r="G159" s="19">
        <v>10</v>
      </c>
      <c r="H159" s="19">
        <v>10</v>
      </c>
      <c r="I159" s="37">
        <v>200</v>
      </c>
      <c r="J159" s="38">
        <v>52.6</v>
      </c>
      <c r="K159" s="39">
        <v>35.8</v>
      </c>
      <c r="L159" s="40">
        <v>78.27</v>
      </c>
      <c r="M159" s="41">
        <v>166.67</v>
      </c>
      <c r="N159" s="42">
        <f t="shared" si="12"/>
        <v>0.292222222222222</v>
      </c>
      <c r="O159" s="43">
        <f t="shared" si="13"/>
        <v>3.58</v>
      </c>
      <c r="P159" s="43">
        <f t="shared" si="14"/>
        <v>7.827</v>
      </c>
      <c r="Q159" s="51">
        <f t="shared" si="15"/>
        <v>0.83335</v>
      </c>
    </row>
    <row r="160" spans="1:17">
      <c r="A160" s="18" t="s">
        <v>134</v>
      </c>
      <c r="B160" s="19" t="s">
        <v>195</v>
      </c>
      <c r="C160" s="19" t="s">
        <v>202</v>
      </c>
      <c r="D160" s="20">
        <v>45418</v>
      </c>
      <c r="E160" s="21">
        <v>12</v>
      </c>
      <c r="F160" s="18">
        <v>165</v>
      </c>
      <c r="G160" s="19">
        <v>15</v>
      </c>
      <c r="H160" s="19">
        <v>20</v>
      </c>
      <c r="I160" s="37">
        <v>200</v>
      </c>
      <c r="J160" s="38">
        <v>108.51</v>
      </c>
      <c r="K160" s="39">
        <v>41.23</v>
      </c>
      <c r="L160" s="40">
        <v>18.18</v>
      </c>
      <c r="M160" s="41">
        <v>167.92</v>
      </c>
      <c r="N160" s="42">
        <f t="shared" si="12"/>
        <v>0.657636363636364</v>
      </c>
      <c r="O160" s="43">
        <f t="shared" si="13"/>
        <v>2.74866666666667</v>
      </c>
      <c r="P160" s="43">
        <f t="shared" si="14"/>
        <v>0.909</v>
      </c>
      <c r="Q160" s="51">
        <f t="shared" si="15"/>
        <v>0.8396</v>
      </c>
    </row>
    <row r="161" spans="1:17">
      <c r="A161" s="18" t="s">
        <v>134</v>
      </c>
      <c r="B161" s="19" t="s">
        <v>195</v>
      </c>
      <c r="C161" s="19" t="s">
        <v>203</v>
      </c>
      <c r="D161" s="20">
        <v>45422</v>
      </c>
      <c r="E161" s="21">
        <v>12</v>
      </c>
      <c r="F161" s="18">
        <v>270</v>
      </c>
      <c r="G161" s="19">
        <v>10</v>
      </c>
      <c r="H161" s="19">
        <v>20</v>
      </c>
      <c r="I161" s="37">
        <v>300</v>
      </c>
      <c r="J161" s="38">
        <v>163.09</v>
      </c>
      <c r="K161" s="39">
        <v>0.34</v>
      </c>
      <c r="L161" s="40">
        <v>1.72</v>
      </c>
      <c r="M161" s="41">
        <v>165.15</v>
      </c>
      <c r="N161" s="42">
        <f t="shared" si="12"/>
        <v>0.604037037037037</v>
      </c>
      <c r="O161" s="43">
        <f t="shared" si="13"/>
        <v>0.034</v>
      </c>
      <c r="P161" s="43">
        <f t="shared" si="14"/>
        <v>0.086</v>
      </c>
      <c r="Q161" s="51">
        <f t="shared" si="15"/>
        <v>0.5505</v>
      </c>
    </row>
    <row r="162" spans="1:17">
      <c r="A162" s="18" t="s">
        <v>134</v>
      </c>
      <c r="B162" s="19" t="s">
        <v>195</v>
      </c>
      <c r="C162" s="19" t="s">
        <v>204</v>
      </c>
      <c r="D162" s="20">
        <v>45461</v>
      </c>
      <c r="E162" s="21">
        <v>12</v>
      </c>
      <c r="F162" s="18">
        <v>540</v>
      </c>
      <c r="G162" s="19">
        <v>10</v>
      </c>
      <c r="H162" s="19">
        <v>150</v>
      </c>
      <c r="I162" s="37">
        <v>700</v>
      </c>
      <c r="J162" s="38">
        <v>493.92</v>
      </c>
      <c r="K162" s="39">
        <v>6.01</v>
      </c>
      <c r="L162" s="40">
        <v>808.59</v>
      </c>
      <c r="M162" s="41">
        <v>1308.52</v>
      </c>
      <c r="N162" s="42">
        <f t="shared" si="12"/>
        <v>0.914666666666667</v>
      </c>
      <c r="O162" s="43">
        <f t="shared" si="13"/>
        <v>0.601</v>
      </c>
      <c r="P162" s="43">
        <f t="shared" si="14"/>
        <v>5.3906</v>
      </c>
      <c r="Q162" s="51">
        <f t="shared" si="15"/>
        <v>1.86931428571429</v>
      </c>
    </row>
    <row r="163" spans="1:17">
      <c r="A163" s="18" t="s">
        <v>134</v>
      </c>
      <c r="B163" s="19" t="s">
        <v>195</v>
      </c>
      <c r="C163" s="19" t="s">
        <v>205</v>
      </c>
      <c r="D163" s="20">
        <v>45577</v>
      </c>
      <c r="E163" s="21">
        <v>12</v>
      </c>
      <c r="F163" s="18">
        <v>185</v>
      </c>
      <c r="G163" s="19">
        <v>5</v>
      </c>
      <c r="H163" s="19">
        <v>10</v>
      </c>
      <c r="I163" s="37">
        <v>200</v>
      </c>
      <c r="J163" s="38">
        <v>291.44</v>
      </c>
      <c r="K163" s="39">
        <v>0.01</v>
      </c>
      <c r="L163" s="40">
        <v>7.14</v>
      </c>
      <c r="M163" s="41">
        <v>298.59</v>
      </c>
      <c r="N163" s="42">
        <f t="shared" si="12"/>
        <v>1.57535135135135</v>
      </c>
      <c r="O163" s="43">
        <f t="shared" si="13"/>
        <v>0.002</v>
      </c>
      <c r="P163" s="43">
        <f t="shared" si="14"/>
        <v>0.714</v>
      </c>
      <c r="Q163" s="51">
        <f t="shared" si="15"/>
        <v>1.49295</v>
      </c>
    </row>
    <row r="164" spans="1:17">
      <c r="A164" s="18" t="s">
        <v>134</v>
      </c>
      <c r="B164" s="19" t="s">
        <v>195</v>
      </c>
      <c r="C164" s="19" t="s">
        <v>206</v>
      </c>
      <c r="D164" s="20">
        <v>45587</v>
      </c>
      <c r="E164" s="21">
        <v>12</v>
      </c>
      <c r="F164" s="18">
        <v>280</v>
      </c>
      <c r="G164" s="19">
        <v>10</v>
      </c>
      <c r="H164" s="19">
        <v>10</v>
      </c>
      <c r="I164" s="37">
        <v>300</v>
      </c>
      <c r="J164" s="38">
        <v>134.72</v>
      </c>
      <c r="K164" s="39">
        <v>0</v>
      </c>
      <c r="L164" s="40">
        <v>2.24</v>
      </c>
      <c r="M164" s="41">
        <v>136.96</v>
      </c>
      <c r="N164" s="42">
        <f t="shared" si="12"/>
        <v>0.481142857142857</v>
      </c>
      <c r="O164" s="43">
        <f t="shared" si="13"/>
        <v>0</v>
      </c>
      <c r="P164" s="43">
        <f t="shared" si="14"/>
        <v>0.224</v>
      </c>
      <c r="Q164" s="51">
        <f t="shared" si="15"/>
        <v>0.456533333333333</v>
      </c>
    </row>
    <row r="165" spans="1:17">
      <c r="A165" s="18" t="s">
        <v>134</v>
      </c>
      <c r="B165" s="19" t="s">
        <v>195</v>
      </c>
      <c r="C165" s="19" t="s">
        <v>207</v>
      </c>
      <c r="D165" s="20">
        <v>45800</v>
      </c>
      <c r="E165" s="21">
        <v>7.33150684931507</v>
      </c>
      <c r="F165" s="22"/>
      <c r="G165" s="23"/>
      <c r="H165" s="23"/>
      <c r="I165" s="37">
        <v>220</v>
      </c>
      <c r="J165" s="38">
        <v>47.42</v>
      </c>
      <c r="K165" s="39">
        <v>0.09</v>
      </c>
      <c r="L165" s="40">
        <v>76.53</v>
      </c>
      <c r="M165" s="41">
        <v>124.04</v>
      </c>
      <c r="N165" s="42"/>
      <c r="O165" s="43"/>
      <c r="P165" s="43"/>
      <c r="Q165" s="51">
        <f t="shared" si="15"/>
        <v>0.922841418671015</v>
      </c>
    </row>
    <row r="166" spans="1:17">
      <c r="A166" s="18" t="s">
        <v>134</v>
      </c>
      <c r="B166" s="19" t="s">
        <v>195</v>
      </c>
      <c r="C166" s="19" t="s">
        <v>208</v>
      </c>
      <c r="D166" s="20">
        <v>45817</v>
      </c>
      <c r="E166" s="21">
        <v>6.77260273972603</v>
      </c>
      <c r="F166" s="22"/>
      <c r="G166" s="23"/>
      <c r="H166" s="23"/>
      <c r="I166" s="37">
        <v>240</v>
      </c>
      <c r="J166" s="38">
        <v>0.1</v>
      </c>
      <c r="K166" s="39">
        <v>0</v>
      </c>
      <c r="L166" s="40">
        <v>41.99</v>
      </c>
      <c r="M166" s="41">
        <v>42.09</v>
      </c>
      <c r="N166" s="42"/>
      <c r="O166" s="43"/>
      <c r="P166" s="43"/>
      <c r="Q166" s="51">
        <f t="shared" si="15"/>
        <v>0.310737257281553</v>
      </c>
    </row>
    <row r="167" spans="1:17">
      <c r="A167" s="18" t="s">
        <v>134</v>
      </c>
      <c r="B167" s="19" t="s">
        <v>195</v>
      </c>
      <c r="C167" s="19" t="s">
        <v>209</v>
      </c>
      <c r="D167" s="20">
        <v>45972</v>
      </c>
      <c r="E167" s="21">
        <v>1.67671232876712</v>
      </c>
      <c r="F167" s="22"/>
      <c r="G167" s="23"/>
      <c r="H167" s="23"/>
      <c r="I167" s="37">
        <v>300</v>
      </c>
      <c r="J167" s="38">
        <v>3.21</v>
      </c>
      <c r="K167" s="39">
        <v>0</v>
      </c>
      <c r="L167" s="40">
        <v>14.01</v>
      </c>
      <c r="M167" s="41">
        <v>17.22</v>
      </c>
      <c r="N167" s="42"/>
      <c r="O167" s="43"/>
      <c r="P167" s="43"/>
      <c r="Q167" s="51">
        <f t="shared" si="15"/>
        <v>0.410803921568627</v>
      </c>
    </row>
    <row r="168" spans="1:17">
      <c r="A168" s="24" t="s">
        <v>134</v>
      </c>
      <c r="B168" s="25" t="s">
        <v>210</v>
      </c>
      <c r="C168" s="26"/>
      <c r="D168" s="26"/>
      <c r="E168" s="27">
        <v>12</v>
      </c>
      <c r="F168" s="28">
        <v>4900</v>
      </c>
      <c r="G168" s="26">
        <v>80</v>
      </c>
      <c r="H168" s="26">
        <v>270</v>
      </c>
      <c r="I168" s="27">
        <v>5250</v>
      </c>
      <c r="J168" s="44">
        <v>5345.3</v>
      </c>
      <c r="K168" s="45">
        <v>85.1</v>
      </c>
      <c r="L168" s="46">
        <v>1186.01</v>
      </c>
      <c r="M168" s="47">
        <v>6616.41</v>
      </c>
      <c r="N168" s="48">
        <f t="shared" si="12"/>
        <v>1.09087755102041</v>
      </c>
      <c r="O168" s="49">
        <f t="shared" si="13"/>
        <v>1.06375</v>
      </c>
      <c r="P168" s="49">
        <f t="shared" si="14"/>
        <v>4.39262962962963</v>
      </c>
      <c r="Q168" s="52">
        <f t="shared" si="15"/>
        <v>1.26026857142857</v>
      </c>
    </row>
    <row r="169" spans="1:17">
      <c r="A169" s="18" t="s">
        <v>134</v>
      </c>
      <c r="B169" s="19" t="s">
        <v>211</v>
      </c>
      <c r="C169" s="19" t="s">
        <v>212</v>
      </c>
      <c r="D169" s="20">
        <v>40736</v>
      </c>
      <c r="E169" s="21">
        <v>12</v>
      </c>
      <c r="F169" s="18">
        <v>285.5</v>
      </c>
      <c r="G169" s="19">
        <v>22</v>
      </c>
      <c r="H169" s="19">
        <v>10</v>
      </c>
      <c r="I169" s="37">
        <v>317.5</v>
      </c>
      <c r="J169" s="38">
        <v>522.94</v>
      </c>
      <c r="K169" s="39">
        <v>10.48</v>
      </c>
      <c r="L169" s="40">
        <v>28.46</v>
      </c>
      <c r="M169" s="41">
        <v>561.88</v>
      </c>
      <c r="N169" s="42">
        <f t="shared" si="12"/>
        <v>1.83166374781086</v>
      </c>
      <c r="O169" s="43">
        <f t="shared" si="13"/>
        <v>0.476363636363636</v>
      </c>
      <c r="P169" s="43">
        <f t="shared" si="14"/>
        <v>2.846</v>
      </c>
      <c r="Q169" s="51">
        <f t="shared" si="15"/>
        <v>1.76970078740158</v>
      </c>
    </row>
    <row r="170" spans="1:17">
      <c r="A170" s="18" t="s">
        <v>134</v>
      </c>
      <c r="B170" s="19" t="s">
        <v>211</v>
      </c>
      <c r="C170" s="19" t="s">
        <v>213</v>
      </c>
      <c r="D170" s="20">
        <v>44411</v>
      </c>
      <c r="E170" s="21">
        <v>12</v>
      </c>
      <c r="F170" s="18">
        <v>336</v>
      </c>
      <c r="G170" s="19">
        <v>20</v>
      </c>
      <c r="H170" s="19">
        <v>10</v>
      </c>
      <c r="I170" s="37">
        <v>366</v>
      </c>
      <c r="J170" s="38">
        <v>359.01</v>
      </c>
      <c r="K170" s="39">
        <v>3.09</v>
      </c>
      <c r="L170" s="40">
        <v>8.03</v>
      </c>
      <c r="M170" s="41">
        <v>370.13</v>
      </c>
      <c r="N170" s="42">
        <f t="shared" si="12"/>
        <v>1.06848214285714</v>
      </c>
      <c r="O170" s="43">
        <f t="shared" si="13"/>
        <v>0.1545</v>
      </c>
      <c r="P170" s="43">
        <f t="shared" si="14"/>
        <v>0.803</v>
      </c>
      <c r="Q170" s="51">
        <f t="shared" si="15"/>
        <v>1.01128415300546</v>
      </c>
    </row>
    <row r="171" spans="1:17">
      <c r="A171" s="18" t="s">
        <v>134</v>
      </c>
      <c r="B171" s="19" t="s">
        <v>211</v>
      </c>
      <c r="C171" s="19" t="s">
        <v>214</v>
      </c>
      <c r="D171" s="20">
        <v>43056</v>
      </c>
      <c r="E171" s="21">
        <v>12</v>
      </c>
      <c r="F171" s="18">
        <v>223.5</v>
      </c>
      <c r="G171" s="19">
        <v>12</v>
      </c>
      <c r="H171" s="19">
        <v>10</v>
      </c>
      <c r="I171" s="37">
        <v>245.5</v>
      </c>
      <c r="J171" s="38">
        <v>56.62</v>
      </c>
      <c r="K171" s="39">
        <v>1.33</v>
      </c>
      <c r="L171" s="40">
        <v>4.62</v>
      </c>
      <c r="M171" s="41">
        <v>62.57</v>
      </c>
      <c r="N171" s="42">
        <f t="shared" si="12"/>
        <v>0.253333333333333</v>
      </c>
      <c r="O171" s="43">
        <f t="shared" si="13"/>
        <v>0.110833333333333</v>
      </c>
      <c r="P171" s="43">
        <f t="shared" si="14"/>
        <v>0.462</v>
      </c>
      <c r="Q171" s="51">
        <f t="shared" si="15"/>
        <v>0.254867617107943</v>
      </c>
    </row>
    <row r="172" spans="1:17">
      <c r="A172" s="18" t="s">
        <v>134</v>
      </c>
      <c r="B172" s="19" t="s">
        <v>211</v>
      </c>
      <c r="C172" s="19" t="s">
        <v>215</v>
      </c>
      <c r="D172" s="20">
        <v>43656</v>
      </c>
      <c r="E172" s="21">
        <v>12</v>
      </c>
      <c r="F172" s="18">
        <v>310</v>
      </c>
      <c r="G172" s="19">
        <v>16</v>
      </c>
      <c r="H172" s="19">
        <v>10</v>
      </c>
      <c r="I172" s="37">
        <v>336</v>
      </c>
      <c r="J172" s="38">
        <v>55.97</v>
      </c>
      <c r="K172" s="39">
        <v>45.86</v>
      </c>
      <c r="L172" s="40">
        <v>2.41</v>
      </c>
      <c r="M172" s="41">
        <v>104.24</v>
      </c>
      <c r="N172" s="42">
        <f t="shared" si="12"/>
        <v>0.180548387096774</v>
      </c>
      <c r="O172" s="43">
        <f t="shared" si="13"/>
        <v>2.86625</v>
      </c>
      <c r="P172" s="43">
        <f t="shared" si="14"/>
        <v>0.241</v>
      </c>
      <c r="Q172" s="51">
        <f t="shared" si="15"/>
        <v>0.310238095238095</v>
      </c>
    </row>
    <row r="173" spans="1:17">
      <c r="A173" s="24" t="s">
        <v>134</v>
      </c>
      <c r="B173" s="25" t="s">
        <v>216</v>
      </c>
      <c r="C173" s="26"/>
      <c r="D173" s="26"/>
      <c r="E173" s="27">
        <v>12</v>
      </c>
      <c r="F173" s="28">
        <v>1340</v>
      </c>
      <c r="G173" s="26">
        <v>80</v>
      </c>
      <c r="H173" s="26">
        <v>60</v>
      </c>
      <c r="I173" s="27">
        <v>1480</v>
      </c>
      <c r="J173" s="44">
        <v>1089.13</v>
      </c>
      <c r="K173" s="45">
        <v>60.84</v>
      </c>
      <c r="L173" s="46">
        <v>45.73</v>
      </c>
      <c r="M173" s="47">
        <v>1195.7</v>
      </c>
      <c r="N173" s="48">
        <f t="shared" si="12"/>
        <v>0.812783582089552</v>
      </c>
      <c r="O173" s="49">
        <f t="shared" si="13"/>
        <v>0.7605</v>
      </c>
      <c r="P173" s="49">
        <f t="shared" si="14"/>
        <v>0.762166666666667</v>
      </c>
      <c r="Q173" s="52">
        <f t="shared" si="15"/>
        <v>0.807905405405405</v>
      </c>
    </row>
    <row r="174" spans="1:17">
      <c r="A174" s="18" t="s">
        <v>134</v>
      </c>
      <c r="B174" s="19" t="s">
        <v>217</v>
      </c>
      <c r="C174" s="19" t="s">
        <v>218</v>
      </c>
      <c r="D174" s="20">
        <v>43277</v>
      </c>
      <c r="E174" s="21">
        <v>12</v>
      </c>
      <c r="F174" s="18">
        <v>70</v>
      </c>
      <c r="G174" s="19">
        <v>30</v>
      </c>
      <c r="H174" s="19">
        <v>30</v>
      </c>
      <c r="I174" s="37">
        <v>130</v>
      </c>
      <c r="J174" s="38">
        <v>16.24</v>
      </c>
      <c r="K174" s="39">
        <v>17.67</v>
      </c>
      <c r="L174" s="40">
        <v>43.2</v>
      </c>
      <c r="M174" s="41">
        <v>77.11</v>
      </c>
      <c r="N174" s="42">
        <f t="shared" si="12"/>
        <v>0.232</v>
      </c>
      <c r="O174" s="43">
        <f t="shared" si="13"/>
        <v>0.589</v>
      </c>
      <c r="P174" s="43">
        <f t="shared" si="14"/>
        <v>1.44</v>
      </c>
      <c r="Q174" s="51">
        <f t="shared" si="15"/>
        <v>0.593153846153846</v>
      </c>
    </row>
    <row r="175" spans="1:17">
      <c r="A175" s="18" t="s">
        <v>134</v>
      </c>
      <c r="B175" s="19" t="s">
        <v>217</v>
      </c>
      <c r="C175" s="19" t="s">
        <v>219</v>
      </c>
      <c r="D175" s="20">
        <v>46015</v>
      </c>
      <c r="E175" s="21">
        <v>0.263013698630137</v>
      </c>
      <c r="F175" s="22"/>
      <c r="G175" s="23"/>
      <c r="H175" s="23"/>
      <c r="I175" s="37">
        <v>100</v>
      </c>
      <c r="J175" s="38">
        <v>0</v>
      </c>
      <c r="K175" s="39">
        <v>0</v>
      </c>
      <c r="L175" s="40">
        <v>0</v>
      </c>
      <c r="M175" s="41">
        <v>0</v>
      </c>
      <c r="N175" s="42"/>
      <c r="O175" s="43"/>
      <c r="P175" s="43"/>
      <c r="Q175" s="51">
        <f t="shared" si="15"/>
        <v>0</v>
      </c>
    </row>
    <row r="176" spans="1:17">
      <c r="A176" s="24" t="s">
        <v>134</v>
      </c>
      <c r="B176" s="25" t="s">
        <v>220</v>
      </c>
      <c r="C176" s="26"/>
      <c r="D176" s="26"/>
      <c r="E176" s="27">
        <v>12</v>
      </c>
      <c r="F176" s="28">
        <v>170</v>
      </c>
      <c r="G176" s="26">
        <v>30</v>
      </c>
      <c r="H176" s="26">
        <v>40</v>
      </c>
      <c r="I176" s="27">
        <v>240</v>
      </c>
      <c r="J176" s="44">
        <v>29.53</v>
      </c>
      <c r="K176" s="45">
        <v>17.71</v>
      </c>
      <c r="L176" s="46">
        <v>45.19</v>
      </c>
      <c r="M176" s="47">
        <v>92.43</v>
      </c>
      <c r="N176" s="48">
        <f t="shared" si="12"/>
        <v>0.173705882352941</v>
      </c>
      <c r="O176" s="49"/>
      <c r="P176" s="49">
        <f t="shared" si="14"/>
        <v>1.12975</v>
      </c>
      <c r="Q176" s="52">
        <f t="shared" si="15"/>
        <v>0.385125</v>
      </c>
    </row>
    <row r="177" spans="1:17">
      <c r="A177" s="18" t="s">
        <v>134</v>
      </c>
      <c r="B177" s="19" t="s">
        <v>221</v>
      </c>
      <c r="C177" s="19" t="s">
        <v>222</v>
      </c>
      <c r="D177" s="20">
        <v>45309</v>
      </c>
      <c r="E177" s="21">
        <v>12</v>
      </c>
      <c r="F177" s="18">
        <v>305</v>
      </c>
      <c r="G177" s="19">
        <v>0</v>
      </c>
      <c r="H177" s="19">
        <v>10</v>
      </c>
      <c r="I177" s="37">
        <v>315</v>
      </c>
      <c r="J177" s="38">
        <v>163.77</v>
      </c>
      <c r="K177" s="39">
        <v>12.83</v>
      </c>
      <c r="L177" s="40">
        <v>2.81</v>
      </c>
      <c r="M177" s="41">
        <v>179.41</v>
      </c>
      <c r="N177" s="42">
        <f t="shared" si="12"/>
        <v>0.536950819672131</v>
      </c>
      <c r="O177" s="43"/>
      <c r="P177" s="43">
        <f t="shared" si="14"/>
        <v>0.281</v>
      </c>
      <c r="Q177" s="51">
        <f t="shared" si="15"/>
        <v>0.569555555555556</v>
      </c>
    </row>
    <row r="178" spans="1:17">
      <c r="A178" s="18" t="s">
        <v>134</v>
      </c>
      <c r="B178" s="19" t="s">
        <v>221</v>
      </c>
      <c r="C178" s="19" t="s">
        <v>223</v>
      </c>
      <c r="D178" s="20">
        <v>45524</v>
      </c>
      <c r="E178" s="21">
        <v>12</v>
      </c>
      <c r="F178" s="18">
        <v>305</v>
      </c>
      <c r="G178" s="19">
        <v>0</v>
      </c>
      <c r="H178" s="19">
        <v>10</v>
      </c>
      <c r="I178" s="37">
        <v>315</v>
      </c>
      <c r="J178" s="38">
        <v>244.66</v>
      </c>
      <c r="K178" s="39">
        <v>0.14</v>
      </c>
      <c r="L178" s="40">
        <v>3.12</v>
      </c>
      <c r="M178" s="41">
        <v>247.92</v>
      </c>
      <c r="N178" s="42">
        <f t="shared" si="12"/>
        <v>0.802163934426229</v>
      </c>
      <c r="O178" s="43"/>
      <c r="P178" s="43">
        <f t="shared" si="14"/>
        <v>0.312</v>
      </c>
      <c r="Q178" s="51">
        <f t="shared" si="15"/>
        <v>0.787047619047619</v>
      </c>
    </row>
    <row r="179" spans="1:17">
      <c r="A179" s="18" t="s">
        <v>134</v>
      </c>
      <c r="B179" s="19" t="s">
        <v>221</v>
      </c>
      <c r="C179" s="19" t="s">
        <v>224</v>
      </c>
      <c r="D179" s="20">
        <v>45524</v>
      </c>
      <c r="E179" s="21">
        <v>12</v>
      </c>
      <c r="F179" s="18">
        <v>297</v>
      </c>
      <c r="G179" s="19">
        <v>0</v>
      </c>
      <c r="H179" s="19">
        <v>10</v>
      </c>
      <c r="I179" s="37">
        <v>307</v>
      </c>
      <c r="J179" s="38">
        <v>86.79</v>
      </c>
      <c r="K179" s="39">
        <v>0</v>
      </c>
      <c r="L179" s="40">
        <v>0.96</v>
      </c>
      <c r="M179" s="41">
        <v>87.75</v>
      </c>
      <c r="N179" s="42">
        <f t="shared" si="12"/>
        <v>0.292222222222222</v>
      </c>
      <c r="O179" s="43"/>
      <c r="P179" s="43">
        <f t="shared" si="14"/>
        <v>0.096</v>
      </c>
      <c r="Q179" s="51">
        <f t="shared" si="15"/>
        <v>0.285830618892508</v>
      </c>
    </row>
    <row r="180" spans="1:17">
      <c r="A180" s="18" t="s">
        <v>134</v>
      </c>
      <c r="B180" s="19" t="s">
        <v>221</v>
      </c>
      <c r="C180" s="19" t="s">
        <v>225</v>
      </c>
      <c r="D180" s="20">
        <v>45720</v>
      </c>
      <c r="E180" s="21">
        <v>9.96164383561644</v>
      </c>
      <c r="F180" s="22"/>
      <c r="G180" s="23"/>
      <c r="H180" s="23"/>
      <c r="I180" s="37">
        <v>315</v>
      </c>
      <c r="J180" s="38">
        <v>103.11</v>
      </c>
      <c r="K180" s="39">
        <v>2.3</v>
      </c>
      <c r="L180" s="40">
        <v>1.6</v>
      </c>
      <c r="M180" s="41">
        <v>107.01</v>
      </c>
      <c r="N180" s="42"/>
      <c r="O180" s="43"/>
      <c r="P180" s="43"/>
      <c r="Q180" s="51">
        <f t="shared" si="15"/>
        <v>0.409226779820839</v>
      </c>
    </row>
    <row r="181" spans="1:17">
      <c r="A181" s="18" t="s">
        <v>134</v>
      </c>
      <c r="B181" s="19" t="s">
        <v>221</v>
      </c>
      <c r="C181" s="19" t="s">
        <v>226</v>
      </c>
      <c r="D181" s="20">
        <v>45720</v>
      </c>
      <c r="E181" s="21">
        <v>9.96164383561644</v>
      </c>
      <c r="F181" s="22"/>
      <c r="G181" s="23"/>
      <c r="H181" s="23"/>
      <c r="I181" s="37">
        <v>210</v>
      </c>
      <c r="J181" s="38">
        <v>73.91</v>
      </c>
      <c r="K181" s="39">
        <v>6.81</v>
      </c>
      <c r="L181" s="40">
        <v>2.62</v>
      </c>
      <c r="M181" s="41">
        <v>83.34</v>
      </c>
      <c r="N181" s="42"/>
      <c r="O181" s="43"/>
      <c r="P181" s="43"/>
      <c r="Q181" s="51">
        <f t="shared" si="15"/>
        <v>0.478062234794908</v>
      </c>
    </row>
    <row r="182" spans="1:17">
      <c r="A182" s="18" t="s">
        <v>134</v>
      </c>
      <c r="B182" s="19" t="s">
        <v>221</v>
      </c>
      <c r="C182" s="19" t="s">
        <v>227</v>
      </c>
      <c r="D182" s="20">
        <v>45748</v>
      </c>
      <c r="E182" s="21">
        <v>9.04109589041096</v>
      </c>
      <c r="F182" s="22"/>
      <c r="G182" s="23"/>
      <c r="H182" s="23"/>
      <c r="I182" s="37">
        <v>170</v>
      </c>
      <c r="J182" s="38">
        <v>70.39</v>
      </c>
      <c r="K182" s="39">
        <v>0</v>
      </c>
      <c r="L182" s="40">
        <v>2.47</v>
      </c>
      <c r="M182" s="41">
        <v>72.86</v>
      </c>
      <c r="N182" s="42"/>
      <c r="O182" s="43"/>
      <c r="P182" s="43"/>
      <c r="Q182" s="51">
        <f t="shared" si="15"/>
        <v>0.568853475935829</v>
      </c>
    </row>
    <row r="183" spans="1:17">
      <c r="A183" s="24" t="s">
        <v>134</v>
      </c>
      <c r="B183" s="25" t="s">
        <v>228</v>
      </c>
      <c r="C183" s="26"/>
      <c r="D183" s="26"/>
      <c r="E183" s="27">
        <v>9.57</v>
      </c>
      <c r="F183" s="28"/>
      <c r="G183" s="26"/>
      <c r="H183" s="26"/>
      <c r="I183" s="27">
        <v>1400</v>
      </c>
      <c r="J183" s="44">
        <v>534.61</v>
      </c>
      <c r="K183" s="45">
        <v>21.7</v>
      </c>
      <c r="L183" s="46">
        <v>10.7</v>
      </c>
      <c r="M183" s="47">
        <v>567.01</v>
      </c>
      <c r="N183" s="48"/>
      <c r="O183" s="49"/>
      <c r="P183" s="49"/>
      <c r="Q183" s="52">
        <f t="shared" si="15"/>
        <v>0.507845947156292</v>
      </c>
    </row>
    <row r="184" spans="1:17">
      <c r="A184" s="18" t="s">
        <v>134</v>
      </c>
      <c r="B184" s="19" t="s">
        <v>229</v>
      </c>
      <c r="C184" s="19" t="s">
        <v>230</v>
      </c>
      <c r="D184" s="20">
        <v>40521</v>
      </c>
      <c r="E184" s="21">
        <v>12</v>
      </c>
      <c r="F184" s="18">
        <v>20</v>
      </c>
      <c r="G184" s="19">
        <v>120</v>
      </c>
      <c r="H184" s="19">
        <v>60</v>
      </c>
      <c r="I184" s="37">
        <v>200</v>
      </c>
      <c r="J184" s="38">
        <v>120.29</v>
      </c>
      <c r="K184" s="39">
        <v>90.07</v>
      </c>
      <c r="L184" s="40">
        <v>66.87</v>
      </c>
      <c r="M184" s="41">
        <v>277.23</v>
      </c>
      <c r="N184" s="42">
        <f t="shared" si="12"/>
        <v>6.0145</v>
      </c>
      <c r="O184" s="43">
        <f t="shared" si="13"/>
        <v>0.750583333333333</v>
      </c>
      <c r="P184" s="43">
        <f t="shared" si="14"/>
        <v>1.1145</v>
      </c>
      <c r="Q184" s="51">
        <f t="shared" si="15"/>
        <v>1.38615</v>
      </c>
    </row>
    <row r="185" spans="1:17">
      <c r="A185" s="18" t="s">
        <v>134</v>
      </c>
      <c r="B185" s="19" t="s">
        <v>229</v>
      </c>
      <c r="C185" s="19" t="s">
        <v>231</v>
      </c>
      <c r="D185" s="20">
        <v>41779</v>
      </c>
      <c r="E185" s="21">
        <v>12</v>
      </c>
      <c r="F185" s="18">
        <v>130</v>
      </c>
      <c r="G185" s="19">
        <v>10</v>
      </c>
      <c r="H185" s="19">
        <v>10</v>
      </c>
      <c r="I185" s="37">
        <v>150</v>
      </c>
      <c r="J185" s="38">
        <v>56.04</v>
      </c>
      <c r="K185" s="39">
        <v>0.56</v>
      </c>
      <c r="L185" s="40">
        <v>27.06</v>
      </c>
      <c r="M185" s="41">
        <v>83.66</v>
      </c>
      <c r="N185" s="42">
        <f t="shared" si="12"/>
        <v>0.431076923076923</v>
      </c>
      <c r="O185" s="43">
        <f t="shared" si="13"/>
        <v>0.056</v>
      </c>
      <c r="P185" s="43">
        <f t="shared" si="14"/>
        <v>2.706</v>
      </c>
      <c r="Q185" s="51">
        <f t="shared" si="15"/>
        <v>0.557733333333333</v>
      </c>
    </row>
    <row r="186" spans="1:17">
      <c r="A186" s="18" t="s">
        <v>134</v>
      </c>
      <c r="B186" s="19" t="s">
        <v>229</v>
      </c>
      <c r="C186" s="19" t="s">
        <v>232</v>
      </c>
      <c r="D186" s="20">
        <v>45103</v>
      </c>
      <c r="E186" s="21">
        <v>12</v>
      </c>
      <c r="F186" s="18">
        <v>97.5</v>
      </c>
      <c r="G186" s="19">
        <v>5</v>
      </c>
      <c r="H186" s="19">
        <v>10</v>
      </c>
      <c r="I186" s="37">
        <v>112.5</v>
      </c>
      <c r="J186" s="38">
        <v>66.69</v>
      </c>
      <c r="K186" s="39">
        <v>0.03</v>
      </c>
      <c r="L186" s="40">
        <v>0.62</v>
      </c>
      <c r="M186" s="41">
        <v>67.34</v>
      </c>
      <c r="N186" s="42">
        <f t="shared" si="12"/>
        <v>0.684</v>
      </c>
      <c r="O186" s="43">
        <f t="shared" si="13"/>
        <v>0.006</v>
      </c>
      <c r="P186" s="43">
        <f t="shared" si="14"/>
        <v>0.062</v>
      </c>
      <c r="Q186" s="51">
        <f t="shared" si="15"/>
        <v>0.598577777777778</v>
      </c>
    </row>
    <row r="187" spans="1:17">
      <c r="A187" s="18" t="s">
        <v>134</v>
      </c>
      <c r="B187" s="19" t="s">
        <v>229</v>
      </c>
      <c r="C187" s="19" t="s">
        <v>233</v>
      </c>
      <c r="D187" s="20">
        <v>45650</v>
      </c>
      <c r="E187" s="21">
        <v>12</v>
      </c>
      <c r="F187" s="18">
        <v>180</v>
      </c>
      <c r="G187" s="19">
        <v>10</v>
      </c>
      <c r="H187" s="19">
        <v>10</v>
      </c>
      <c r="I187" s="37">
        <v>200</v>
      </c>
      <c r="J187" s="38">
        <v>67.6</v>
      </c>
      <c r="K187" s="39">
        <v>0</v>
      </c>
      <c r="L187" s="40">
        <v>0.26</v>
      </c>
      <c r="M187" s="41">
        <v>67.86</v>
      </c>
      <c r="N187" s="42">
        <f t="shared" si="12"/>
        <v>0.375555555555556</v>
      </c>
      <c r="O187" s="43">
        <f t="shared" si="13"/>
        <v>0</v>
      </c>
      <c r="P187" s="43">
        <f t="shared" si="14"/>
        <v>0.026</v>
      </c>
      <c r="Q187" s="51">
        <f t="shared" si="15"/>
        <v>0.3393</v>
      </c>
    </row>
    <row r="188" spans="1:17">
      <c r="A188" s="24" t="s">
        <v>134</v>
      </c>
      <c r="B188" s="25" t="s">
        <v>234</v>
      </c>
      <c r="C188" s="26"/>
      <c r="D188" s="26"/>
      <c r="E188" s="27">
        <v>12</v>
      </c>
      <c r="F188" s="28"/>
      <c r="G188" s="26"/>
      <c r="H188" s="26"/>
      <c r="I188" s="27">
        <v>550</v>
      </c>
      <c r="J188" s="44">
        <v>243.9</v>
      </c>
      <c r="K188" s="45">
        <v>90.63</v>
      </c>
      <c r="L188" s="46">
        <v>94.19</v>
      </c>
      <c r="M188" s="47">
        <v>428.72</v>
      </c>
      <c r="N188" s="48"/>
      <c r="O188" s="49"/>
      <c r="P188" s="49"/>
      <c r="Q188" s="52">
        <f t="shared" si="15"/>
        <v>0.779490909090909</v>
      </c>
    </row>
    <row r="189" spans="1:17">
      <c r="A189" s="18" t="s">
        <v>134</v>
      </c>
      <c r="B189" s="19" t="s">
        <v>235</v>
      </c>
      <c r="C189" s="19" t="s">
        <v>236</v>
      </c>
      <c r="D189" s="20">
        <v>39525</v>
      </c>
      <c r="E189" s="21">
        <v>12</v>
      </c>
      <c r="F189" s="18">
        <v>130</v>
      </c>
      <c r="G189" s="19">
        <v>35</v>
      </c>
      <c r="H189" s="19">
        <v>20</v>
      </c>
      <c r="I189" s="37">
        <v>185</v>
      </c>
      <c r="J189" s="38">
        <v>99.56</v>
      </c>
      <c r="K189" s="39">
        <v>84.17</v>
      </c>
      <c r="L189" s="40">
        <v>44.9</v>
      </c>
      <c r="M189" s="41">
        <v>228.63</v>
      </c>
      <c r="N189" s="42">
        <f t="shared" si="12"/>
        <v>0.765846153846154</v>
      </c>
      <c r="O189" s="43">
        <f t="shared" si="13"/>
        <v>2.40485714285714</v>
      </c>
      <c r="P189" s="43">
        <f t="shared" si="14"/>
        <v>2.245</v>
      </c>
      <c r="Q189" s="51">
        <f t="shared" si="15"/>
        <v>1.23583783783784</v>
      </c>
    </row>
    <row r="190" spans="1:17">
      <c r="A190" s="18" t="s">
        <v>134</v>
      </c>
      <c r="B190" s="19" t="s">
        <v>235</v>
      </c>
      <c r="C190" s="19" t="s">
        <v>237</v>
      </c>
      <c r="D190" s="20">
        <v>39820</v>
      </c>
      <c r="E190" s="21">
        <v>12</v>
      </c>
      <c r="F190" s="18">
        <v>30</v>
      </c>
      <c r="G190" s="19">
        <v>40</v>
      </c>
      <c r="H190" s="19">
        <v>30</v>
      </c>
      <c r="I190" s="37">
        <v>100</v>
      </c>
      <c r="J190" s="38">
        <v>5.39</v>
      </c>
      <c r="K190" s="39">
        <v>24.7</v>
      </c>
      <c r="L190" s="40">
        <v>27.22</v>
      </c>
      <c r="M190" s="41">
        <v>57.31</v>
      </c>
      <c r="N190" s="42">
        <f t="shared" si="12"/>
        <v>0.179666666666667</v>
      </c>
      <c r="O190" s="43">
        <f t="shared" si="13"/>
        <v>0.6175</v>
      </c>
      <c r="P190" s="43">
        <f t="shared" si="14"/>
        <v>0.907333333333333</v>
      </c>
      <c r="Q190" s="51">
        <f t="shared" si="15"/>
        <v>0.5731</v>
      </c>
    </row>
    <row r="191" spans="1:17">
      <c r="A191" s="18" t="s">
        <v>134</v>
      </c>
      <c r="B191" s="19" t="s">
        <v>235</v>
      </c>
      <c r="C191" s="19" t="s">
        <v>238</v>
      </c>
      <c r="D191" s="20">
        <v>43006</v>
      </c>
      <c r="E191" s="21">
        <v>12</v>
      </c>
      <c r="F191" s="18">
        <v>175</v>
      </c>
      <c r="G191" s="19">
        <v>5</v>
      </c>
      <c r="H191" s="19">
        <v>5</v>
      </c>
      <c r="I191" s="37">
        <v>185</v>
      </c>
      <c r="J191" s="38">
        <v>99.6</v>
      </c>
      <c r="K191" s="39">
        <v>5.52</v>
      </c>
      <c r="L191" s="40">
        <v>4.14</v>
      </c>
      <c r="M191" s="41">
        <v>109.26</v>
      </c>
      <c r="N191" s="42">
        <f t="shared" si="12"/>
        <v>0.569142857142857</v>
      </c>
      <c r="O191" s="43">
        <f t="shared" si="13"/>
        <v>1.104</v>
      </c>
      <c r="P191" s="43">
        <f t="shared" si="14"/>
        <v>0.828</v>
      </c>
      <c r="Q191" s="51">
        <f t="shared" si="15"/>
        <v>0.590594594594595</v>
      </c>
    </row>
    <row r="192" spans="1:17">
      <c r="A192" s="18" t="s">
        <v>134</v>
      </c>
      <c r="B192" s="19" t="s">
        <v>235</v>
      </c>
      <c r="C192" s="19" t="s">
        <v>239</v>
      </c>
      <c r="D192" s="20">
        <v>45968</v>
      </c>
      <c r="E192" s="21">
        <v>1.80821917808219</v>
      </c>
      <c r="F192" s="22"/>
      <c r="G192" s="23"/>
      <c r="H192" s="23"/>
      <c r="I192" s="37">
        <v>260</v>
      </c>
      <c r="J192" s="38">
        <v>30.34</v>
      </c>
      <c r="K192" s="39">
        <v>0</v>
      </c>
      <c r="L192" s="40">
        <v>27.55</v>
      </c>
      <c r="M192" s="41">
        <v>57.89</v>
      </c>
      <c r="N192" s="42"/>
      <c r="O192" s="43"/>
      <c r="P192" s="43"/>
      <c r="Q192" s="51">
        <f t="shared" si="15"/>
        <v>1.47761188811189</v>
      </c>
    </row>
    <row r="193" spans="1:17">
      <c r="A193" s="18" t="s">
        <v>134</v>
      </c>
      <c r="B193" s="19" t="s">
        <v>235</v>
      </c>
      <c r="C193" s="19" t="s">
        <v>240</v>
      </c>
      <c r="D193" s="20">
        <v>46007</v>
      </c>
      <c r="E193" s="21">
        <v>0.526027397260274</v>
      </c>
      <c r="F193" s="22"/>
      <c r="G193" s="23"/>
      <c r="H193" s="23"/>
      <c r="I193" s="37">
        <v>220</v>
      </c>
      <c r="J193" s="38">
        <v>1.28</v>
      </c>
      <c r="K193" s="39">
        <v>0</v>
      </c>
      <c r="L193" s="40">
        <v>0.14</v>
      </c>
      <c r="M193" s="41">
        <v>1.42</v>
      </c>
      <c r="N193" s="42"/>
      <c r="O193" s="43"/>
      <c r="P193" s="43"/>
      <c r="Q193" s="51">
        <f t="shared" si="15"/>
        <v>0.147244318181818</v>
      </c>
    </row>
    <row r="194" spans="1:17">
      <c r="A194" s="24" t="s">
        <v>134</v>
      </c>
      <c r="B194" s="25" t="s">
        <v>241</v>
      </c>
      <c r="C194" s="26"/>
      <c r="D194" s="26"/>
      <c r="E194" s="27">
        <v>12</v>
      </c>
      <c r="F194" s="28">
        <v>460</v>
      </c>
      <c r="G194" s="26">
        <v>80</v>
      </c>
      <c r="H194" s="26">
        <v>60</v>
      </c>
      <c r="I194" s="27">
        <v>600</v>
      </c>
      <c r="J194" s="44">
        <v>246.82</v>
      </c>
      <c r="K194" s="45">
        <v>114.51</v>
      </c>
      <c r="L194" s="46">
        <v>103.95</v>
      </c>
      <c r="M194" s="47">
        <v>465.28</v>
      </c>
      <c r="N194" s="48">
        <f t="shared" si="12"/>
        <v>0.536565217391304</v>
      </c>
      <c r="O194" s="49">
        <f t="shared" si="13"/>
        <v>1.431375</v>
      </c>
      <c r="P194" s="49">
        <f t="shared" si="14"/>
        <v>1.7325</v>
      </c>
      <c r="Q194" s="52">
        <f t="shared" si="15"/>
        <v>0.775466666666667</v>
      </c>
    </row>
    <row r="195" spans="1:17">
      <c r="A195" s="24" t="s">
        <v>134</v>
      </c>
      <c r="B195" s="26" t="s">
        <v>242</v>
      </c>
      <c r="C195" s="26"/>
      <c r="D195" s="26"/>
      <c r="E195" s="27">
        <v>12</v>
      </c>
      <c r="F195" s="28">
        <v>19730</v>
      </c>
      <c r="G195" s="26">
        <v>1010</v>
      </c>
      <c r="H195" s="26">
        <v>1420</v>
      </c>
      <c r="I195" s="27">
        <v>22160</v>
      </c>
      <c r="J195" s="44">
        <v>17439.91</v>
      </c>
      <c r="K195" s="45">
        <v>932.64</v>
      </c>
      <c r="L195" s="46">
        <v>2258.8</v>
      </c>
      <c r="M195" s="47">
        <v>20631.35</v>
      </c>
      <c r="N195" s="48">
        <f t="shared" si="12"/>
        <v>0.883928535225545</v>
      </c>
      <c r="O195" s="49">
        <f t="shared" si="13"/>
        <v>0.923405940594059</v>
      </c>
      <c r="P195" s="49">
        <f t="shared" si="14"/>
        <v>1.59070422535211</v>
      </c>
      <c r="Q195" s="52">
        <f t="shared" si="15"/>
        <v>0.931017599277978</v>
      </c>
    </row>
    <row r="196" spans="1:17">
      <c r="A196" s="18" t="s">
        <v>243</v>
      </c>
      <c r="B196" s="19" t="s">
        <v>244</v>
      </c>
      <c r="C196" s="19" t="s">
        <v>245</v>
      </c>
      <c r="D196" s="20">
        <v>39409</v>
      </c>
      <c r="E196" s="21">
        <v>12</v>
      </c>
      <c r="F196" s="18">
        <v>0</v>
      </c>
      <c r="G196" s="19">
        <v>200</v>
      </c>
      <c r="H196" s="19">
        <v>200</v>
      </c>
      <c r="I196" s="37">
        <v>400</v>
      </c>
      <c r="J196" s="38">
        <v>0.11</v>
      </c>
      <c r="K196" s="39">
        <v>507.26</v>
      </c>
      <c r="L196" s="40">
        <v>200.13</v>
      </c>
      <c r="M196" s="41">
        <v>707.5</v>
      </c>
      <c r="N196" s="42"/>
      <c r="O196" s="43">
        <f t="shared" si="13"/>
        <v>2.5363</v>
      </c>
      <c r="P196" s="43">
        <f t="shared" si="14"/>
        <v>1.00065</v>
      </c>
      <c r="Q196" s="51">
        <f t="shared" si="15"/>
        <v>1.76875</v>
      </c>
    </row>
    <row r="197" spans="1:17">
      <c r="A197" s="18" t="s">
        <v>243</v>
      </c>
      <c r="B197" s="19" t="s">
        <v>244</v>
      </c>
      <c r="C197" s="19" t="s">
        <v>246</v>
      </c>
      <c r="D197" s="20">
        <v>41458</v>
      </c>
      <c r="E197" s="21">
        <v>12</v>
      </c>
      <c r="F197" s="18">
        <v>10</v>
      </c>
      <c r="G197" s="19">
        <v>80</v>
      </c>
      <c r="H197" s="19">
        <v>110</v>
      </c>
      <c r="I197" s="37">
        <v>200</v>
      </c>
      <c r="J197" s="38">
        <v>8.05</v>
      </c>
      <c r="K197" s="39">
        <v>241.68</v>
      </c>
      <c r="L197" s="40">
        <v>82.34</v>
      </c>
      <c r="M197" s="41">
        <v>332.07</v>
      </c>
      <c r="N197" s="42">
        <f t="shared" si="12"/>
        <v>0.805</v>
      </c>
      <c r="O197" s="43">
        <f t="shared" si="13"/>
        <v>3.021</v>
      </c>
      <c r="P197" s="43">
        <f t="shared" si="14"/>
        <v>0.748545454545455</v>
      </c>
      <c r="Q197" s="51">
        <f t="shared" si="15"/>
        <v>1.66035</v>
      </c>
    </row>
    <row r="198" spans="1:17">
      <c r="A198" s="18" t="s">
        <v>243</v>
      </c>
      <c r="B198" s="19" t="s">
        <v>244</v>
      </c>
      <c r="C198" s="19" t="s">
        <v>247</v>
      </c>
      <c r="D198" s="20">
        <v>41501</v>
      </c>
      <c r="E198" s="21">
        <v>12</v>
      </c>
      <c r="F198" s="18">
        <v>0</v>
      </c>
      <c r="G198" s="19">
        <v>370</v>
      </c>
      <c r="H198" s="19">
        <v>330</v>
      </c>
      <c r="I198" s="37">
        <v>700</v>
      </c>
      <c r="J198" s="38">
        <v>0</v>
      </c>
      <c r="K198" s="39">
        <v>99.62</v>
      </c>
      <c r="L198" s="40">
        <v>513.21</v>
      </c>
      <c r="M198" s="41">
        <v>612.83</v>
      </c>
      <c r="N198" s="42"/>
      <c r="O198" s="43">
        <f t="shared" si="13"/>
        <v>0.269243243243243</v>
      </c>
      <c r="P198" s="43">
        <f t="shared" si="14"/>
        <v>1.55518181818182</v>
      </c>
      <c r="Q198" s="51">
        <f t="shared" si="15"/>
        <v>0.875471428571429</v>
      </c>
    </row>
    <row r="199" spans="1:17">
      <c r="A199" s="18" t="s">
        <v>243</v>
      </c>
      <c r="B199" s="19" t="s">
        <v>244</v>
      </c>
      <c r="C199" s="19" t="s">
        <v>248</v>
      </c>
      <c r="D199" s="20">
        <v>44021</v>
      </c>
      <c r="E199" s="21">
        <v>12</v>
      </c>
      <c r="F199" s="18">
        <v>0</v>
      </c>
      <c r="G199" s="19">
        <v>100</v>
      </c>
      <c r="H199" s="19">
        <v>250</v>
      </c>
      <c r="I199" s="37">
        <v>350</v>
      </c>
      <c r="J199" s="38">
        <v>0</v>
      </c>
      <c r="K199" s="39">
        <v>54.61</v>
      </c>
      <c r="L199" s="40">
        <v>467.71</v>
      </c>
      <c r="M199" s="41">
        <v>522.32</v>
      </c>
      <c r="N199" s="42"/>
      <c r="O199" s="43">
        <f t="shared" si="13"/>
        <v>0.5461</v>
      </c>
      <c r="P199" s="43">
        <f t="shared" si="14"/>
        <v>1.87084</v>
      </c>
      <c r="Q199" s="51">
        <f t="shared" si="15"/>
        <v>1.49234285714286</v>
      </c>
    </row>
    <row r="200" spans="1:17">
      <c r="A200" s="18" t="s">
        <v>243</v>
      </c>
      <c r="B200" s="19" t="s">
        <v>244</v>
      </c>
      <c r="C200" s="19" t="s">
        <v>249</v>
      </c>
      <c r="D200" s="20">
        <v>43354</v>
      </c>
      <c r="E200" s="21">
        <v>12</v>
      </c>
      <c r="F200" s="18">
        <v>0</v>
      </c>
      <c r="G200" s="19">
        <v>0</v>
      </c>
      <c r="H200" s="19">
        <v>350</v>
      </c>
      <c r="I200" s="37">
        <v>350</v>
      </c>
      <c r="J200" s="38">
        <v>0</v>
      </c>
      <c r="K200" s="39">
        <v>44.17</v>
      </c>
      <c r="L200" s="40">
        <v>217.58</v>
      </c>
      <c r="M200" s="41">
        <v>261.75</v>
      </c>
      <c r="N200" s="42"/>
      <c r="O200" s="43"/>
      <c r="P200" s="43">
        <f t="shared" si="14"/>
        <v>0.621657142857143</v>
      </c>
      <c r="Q200" s="51">
        <f t="shared" si="15"/>
        <v>0.747857142857143</v>
      </c>
    </row>
    <row r="201" spans="1:17">
      <c r="A201" s="18" t="s">
        <v>243</v>
      </c>
      <c r="B201" s="19" t="s">
        <v>244</v>
      </c>
      <c r="C201" s="19" t="s">
        <v>250</v>
      </c>
      <c r="D201" s="20">
        <v>45553</v>
      </c>
      <c r="E201" s="21">
        <v>12</v>
      </c>
      <c r="F201" s="18">
        <v>0</v>
      </c>
      <c r="G201" s="19">
        <v>0</v>
      </c>
      <c r="H201" s="19">
        <v>300</v>
      </c>
      <c r="I201" s="37">
        <v>300</v>
      </c>
      <c r="J201" s="38">
        <v>0</v>
      </c>
      <c r="K201" s="39">
        <v>52.34</v>
      </c>
      <c r="L201" s="40">
        <v>237.57</v>
      </c>
      <c r="M201" s="41">
        <v>289.91</v>
      </c>
      <c r="N201" s="42"/>
      <c r="O201" s="43"/>
      <c r="P201" s="43">
        <f t="shared" si="14"/>
        <v>0.7919</v>
      </c>
      <c r="Q201" s="51">
        <f t="shared" si="15"/>
        <v>0.966366666666667</v>
      </c>
    </row>
    <row r="202" spans="1:17">
      <c r="A202" s="24" t="s">
        <v>243</v>
      </c>
      <c r="B202" s="25" t="s">
        <v>251</v>
      </c>
      <c r="C202" s="26"/>
      <c r="D202" s="26"/>
      <c r="E202" s="27">
        <v>12</v>
      </c>
      <c r="F202" s="28">
        <v>10</v>
      </c>
      <c r="G202" s="26">
        <v>750</v>
      </c>
      <c r="H202" s="26">
        <v>1540</v>
      </c>
      <c r="I202" s="27">
        <v>2300</v>
      </c>
      <c r="J202" s="44">
        <v>8.16</v>
      </c>
      <c r="K202" s="45">
        <v>996.64</v>
      </c>
      <c r="L202" s="46">
        <v>1694.69</v>
      </c>
      <c r="M202" s="47">
        <v>2699.49</v>
      </c>
      <c r="N202" s="48">
        <f t="shared" si="12"/>
        <v>0.816</v>
      </c>
      <c r="O202" s="49">
        <f t="shared" si="13"/>
        <v>1.32885333333333</v>
      </c>
      <c r="P202" s="49">
        <f t="shared" si="14"/>
        <v>1.10044805194805</v>
      </c>
      <c r="Q202" s="52">
        <f t="shared" si="15"/>
        <v>1.17369130434783</v>
      </c>
    </row>
    <row r="203" spans="1:17">
      <c r="A203" s="18" t="s">
        <v>243</v>
      </c>
      <c r="B203" s="19" t="s">
        <v>252</v>
      </c>
      <c r="C203" s="19" t="s">
        <v>253</v>
      </c>
      <c r="D203" s="20">
        <v>41278</v>
      </c>
      <c r="E203" s="21">
        <v>12</v>
      </c>
      <c r="F203" s="18">
        <v>380</v>
      </c>
      <c r="G203" s="19">
        <v>150</v>
      </c>
      <c r="H203" s="19">
        <v>50</v>
      </c>
      <c r="I203" s="37">
        <v>580</v>
      </c>
      <c r="J203" s="38">
        <v>584.19</v>
      </c>
      <c r="K203" s="39">
        <v>151.5</v>
      </c>
      <c r="L203" s="40">
        <v>44.25</v>
      </c>
      <c r="M203" s="41">
        <v>779.94</v>
      </c>
      <c r="N203" s="42">
        <f t="shared" si="12"/>
        <v>1.53734210526316</v>
      </c>
      <c r="O203" s="43">
        <f t="shared" si="13"/>
        <v>1.01</v>
      </c>
      <c r="P203" s="43">
        <f t="shared" si="14"/>
        <v>0.885</v>
      </c>
      <c r="Q203" s="51">
        <f t="shared" si="15"/>
        <v>1.34472413793103</v>
      </c>
    </row>
    <row r="204" spans="1:17">
      <c r="A204" s="18" t="s">
        <v>243</v>
      </c>
      <c r="B204" s="19" t="s">
        <v>252</v>
      </c>
      <c r="C204" s="19" t="s">
        <v>254</v>
      </c>
      <c r="D204" s="20">
        <v>42425</v>
      </c>
      <c r="E204" s="21">
        <v>12</v>
      </c>
      <c r="F204" s="18">
        <v>20</v>
      </c>
      <c r="G204" s="19">
        <v>300</v>
      </c>
      <c r="H204" s="19">
        <v>330</v>
      </c>
      <c r="I204" s="37">
        <v>650</v>
      </c>
      <c r="J204" s="38">
        <v>15.49</v>
      </c>
      <c r="K204" s="39">
        <v>455.33</v>
      </c>
      <c r="L204" s="40">
        <v>359.64</v>
      </c>
      <c r="M204" s="41">
        <v>830.46</v>
      </c>
      <c r="N204" s="42">
        <f t="shared" ref="N204:N267" si="16">J204/$E204*12/F204</f>
        <v>0.7745</v>
      </c>
      <c r="O204" s="43">
        <f t="shared" ref="O204:O267" si="17">K204/$E204*12/G204</f>
        <v>1.51776666666667</v>
      </c>
      <c r="P204" s="43">
        <f t="shared" ref="P204:P267" si="18">L204/$E204*12/H204</f>
        <v>1.08981818181818</v>
      </c>
      <c r="Q204" s="51">
        <f t="shared" ref="Q204:Q267" si="19">M204/$E204*12/I204</f>
        <v>1.27763076923077</v>
      </c>
    </row>
    <row r="205" spans="1:17">
      <c r="A205" s="18" t="s">
        <v>243</v>
      </c>
      <c r="B205" s="19" t="s">
        <v>252</v>
      </c>
      <c r="C205" s="19" t="s">
        <v>255</v>
      </c>
      <c r="D205" s="20">
        <v>45317</v>
      </c>
      <c r="E205" s="21">
        <v>12</v>
      </c>
      <c r="F205" s="18">
        <v>400</v>
      </c>
      <c r="G205" s="19">
        <v>30</v>
      </c>
      <c r="H205" s="19">
        <v>20</v>
      </c>
      <c r="I205" s="37">
        <v>450</v>
      </c>
      <c r="J205" s="38">
        <v>239.4</v>
      </c>
      <c r="K205" s="39">
        <v>9.59</v>
      </c>
      <c r="L205" s="40">
        <v>7.83</v>
      </c>
      <c r="M205" s="41">
        <v>256.82</v>
      </c>
      <c r="N205" s="42">
        <f t="shared" si="16"/>
        <v>0.5985</v>
      </c>
      <c r="O205" s="43">
        <f t="shared" si="17"/>
        <v>0.319666666666667</v>
      </c>
      <c r="P205" s="43">
        <f t="shared" si="18"/>
        <v>0.3915</v>
      </c>
      <c r="Q205" s="51">
        <f t="shared" si="19"/>
        <v>0.570711111111111</v>
      </c>
    </row>
    <row r="206" spans="1:17">
      <c r="A206" s="18" t="s">
        <v>243</v>
      </c>
      <c r="B206" s="19" t="s">
        <v>252</v>
      </c>
      <c r="C206" s="19" t="s">
        <v>256</v>
      </c>
      <c r="D206" s="20">
        <v>45575</v>
      </c>
      <c r="E206" s="21">
        <v>12</v>
      </c>
      <c r="F206" s="18">
        <v>0</v>
      </c>
      <c r="G206" s="19">
        <v>100</v>
      </c>
      <c r="H206" s="19">
        <v>200</v>
      </c>
      <c r="I206" s="37">
        <v>300</v>
      </c>
      <c r="J206" s="38">
        <v>25.77</v>
      </c>
      <c r="K206" s="39">
        <v>43.21</v>
      </c>
      <c r="L206" s="40">
        <v>109.42</v>
      </c>
      <c r="M206" s="41">
        <v>178.4</v>
      </c>
      <c r="N206" s="42"/>
      <c r="O206" s="43">
        <f t="shared" si="17"/>
        <v>0.4321</v>
      </c>
      <c r="P206" s="43">
        <f t="shared" si="18"/>
        <v>0.5471</v>
      </c>
      <c r="Q206" s="51">
        <f t="shared" si="19"/>
        <v>0.594666666666667</v>
      </c>
    </row>
    <row r="207" spans="1:17">
      <c r="A207" s="24" t="s">
        <v>243</v>
      </c>
      <c r="B207" s="25" t="s">
        <v>257</v>
      </c>
      <c r="C207" s="26"/>
      <c r="D207" s="26"/>
      <c r="E207" s="27">
        <v>12</v>
      </c>
      <c r="F207" s="28">
        <v>800</v>
      </c>
      <c r="G207" s="26">
        <v>480</v>
      </c>
      <c r="H207" s="26">
        <v>400</v>
      </c>
      <c r="I207" s="27">
        <v>1680</v>
      </c>
      <c r="J207" s="44">
        <v>864.84</v>
      </c>
      <c r="K207" s="45">
        <v>648.57</v>
      </c>
      <c r="L207" s="46">
        <v>479.47</v>
      </c>
      <c r="M207" s="47">
        <v>1992.88</v>
      </c>
      <c r="N207" s="48">
        <f t="shared" si="16"/>
        <v>1.08105</v>
      </c>
      <c r="O207" s="49">
        <f t="shared" si="17"/>
        <v>1.3511875</v>
      </c>
      <c r="P207" s="49">
        <f t="shared" si="18"/>
        <v>1.198675</v>
      </c>
      <c r="Q207" s="52">
        <f t="shared" si="19"/>
        <v>1.1862380952381</v>
      </c>
    </row>
    <row r="208" spans="1:17">
      <c r="A208" s="18" t="s">
        <v>243</v>
      </c>
      <c r="B208" s="19" t="s">
        <v>258</v>
      </c>
      <c r="C208" s="19" t="s">
        <v>259</v>
      </c>
      <c r="D208" s="20">
        <v>42221</v>
      </c>
      <c r="E208" s="21">
        <v>12</v>
      </c>
      <c r="F208" s="18">
        <v>20</v>
      </c>
      <c r="G208" s="19">
        <v>300</v>
      </c>
      <c r="H208" s="19">
        <v>200</v>
      </c>
      <c r="I208" s="37">
        <v>520</v>
      </c>
      <c r="J208" s="38">
        <v>10.53</v>
      </c>
      <c r="K208" s="39">
        <v>673.5</v>
      </c>
      <c r="L208" s="40">
        <v>492.52</v>
      </c>
      <c r="M208" s="41">
        <v>1176.55</v>
      </c>
      <c r="N208" s="42">
        <f t="shared" si="16"/>
        <v>0.5265</v>
      </c>
      <c r="O208" s="43">
        <f t="shared" si="17"/>
        <v>2.245</v>
      </c>
      <c r="P208" s="43">
        <f t="shared" si="18"/>
        <v>2.4626</v>
      </c>
      <c r="Q208" s="51">
        <f t="shared" si="19"/>
        <v>2.26259615384615</v>
      </c>
    </row>
    <row r="209" spans="1:17">
      <c r="A209" s="18" t="s">
        <v>243</v>
      </c>
      <c r="B209" s="19" t="s">
        <v>258</v>
      </c>
      <c r="C209" s="19" t="s">
        <v>260</v>
      </c>
      <c r="D209" s="20">
        <v>44298</v>
      </c>
      <c r="E209" s="21">
        <v>12</v>
      </c>
      <c r="F209" s="18">
        <v>20</v>
      </c>
      <c r="G209" s="19">
        <v>140</v>
      </c>
      <c r="H209" s="19">
        <v>140</v>
      </c>
      <c r="I209" s="37">
        <v>300</v>
      </c>
      <c r="J209" s="38">
        <v>46.69</v>
      </c>
      <c r="K209" s="39">
        <v>96.72</v>
      </c>
      <c r="L209" s="40">
        <v>176.39</v>
      </c>
      <c r="M209" s="41">
        <v>319.8</v>
      </c>
      <c r="N209" s="42">
        <f t="shared" si="16"/>
        <v>2.3345</v>
      </c>
      <c r="O209" s="43">
        <f t="shared" si="17"/>
        <v>0.690857142857143</v>
      </c>
      <c r="P209" s="43">
        <f t="shared" si="18"/>
        <v>1.25992857142857</v>
      </c>
      <c r="Q209" s="51">
        <f t="shared" si="19"/>
        <v>1.066</v>
      </c>
    </row>
    <row r="210" spans="1:17">
      <c r="A210" s="18" t="s">
        <v>243</v>
      </c>
      <c r="B210" s="19" t="s">
        <v>258</v>
      </c>
      <c r="C210" s="19" t="s">
        <v>261</v>
      </c>
      <c r="D210" s="20">
        <v>44489</v>
      </c>
      <c r="E210" s="21">
        <v>12</v>
      </c>
      <c r="F210" s="18">
        <v>240</v>
      </c>
      <c r="G210" s="19">
        <v>0</v>
      </c>
      <c r="H210" s="19">
        <v>20</v>
      </c>
      <c r="I210" s="37">
        <v>260</v>
      </c>
      <c r="J210" s="38">
        <v>449.94</v>
      </c>
      <c r="K210" s="39">
        <v>0.35</v>
      </c>
      <c r="L210" s="40">
        <v>42.85</v>
      </c>
      <c r="M210" s="41">
        <v>493.14</v>
      </c>
      <c r="N210" s="42">
        <f t="shared" si="16"/>
        <v>1.87475</v>
      </c>
      <c r="O210" s="43"/>
      <c r="P210" s="43">
        <f t="shared" si="18"/>
        <v>2.1425</v>
      </c>
      <c r="Q210" s="51">
        <f t="shared" si="19"/>
        <v>1.89669230769231</v>
      </c>
    </row>
    <row r="211" spans="1:17">
      <c r="A211" s="18" t="s">
        <v>243</v>
      </c>
      <c r="B211" s="19" t="s">
        <v>258</v>
      </c>
      <c r="C211" s="19" t="s">
        <v>262</v>
      </c>
      <c r="D211" s="20">
        <v>44714</v>
      </c>
      <c r="E211" s="21">
        <v>12</v>
      </c>
      <c r="F211" s="18">
        <v>260</v>
      </c>
      <c r="G211" s="19">
        <v>440</v>
      </c>
      <c r="H211" s="19">
        <v>140</v>
      </c>
      <c r="I211" s="37">
        <v>840</v>
      </c>
      <c r="J211" s="38">
        <v>287.07</v>
      </c>
      <c r="K211" s="39">
        <v>0.75</v>
      </c>
      <c r="L211" s="40">
        <v>127.36</v>
      </c>
      <c r="M211" s="41">
        <v>415.18</v>
      </c>
      <c r="N211" s="42">
        <f t="shared" si="16"/>
        <v>1.10411538461538</v>
      </c>
      <c r="O211" s="43">
        <f t="shared" si="17"/>
        <v>0.00170454545454545</v>
      </c>
      <c r="P211" s="43">
        <f t="shared" si="18"/>
        <v>0.909714285714286</v>
      </c>
      <c r="Q211" s="51">
        <f t="shared" si="19"/>
        <v>0.494261904761905</v>
      </c>
    </row>
    <row r="212" spans="1:17">
      <c r="A212" s="18" t="s">
        <v>243</v>
      </c>
      <c r="B212" s="19" t="s">
        <v>258</v>
      </c>
      <c r="C212" s="19" t="s">
        <v>263</v>
      </c>
      <c r="D212" s="20">
        <v>45993</v>
      </c>
      <c r="E212" s="21">
        <v>0.986301369863014</v>
      </c>
      <c r="F212" s="22"/>
      <c r="G212" s="23"/>
      <c r="H212" s="23"/>
      <c r="I212" s="37">
        <v>240</v>
      </c>
      <c r="J212" s="38">
        <v>0</v>
      </c>
      <c r="K212" s="39">
        <v>0.01</v>
      </c>
      <c r="L212" s="40">
        <v>0.11</v>
      </c>
      <c r="M212" s="41">
        <v>0.12</v>
      </c>
      <c r="N212" s="42"/>
      <c r="O212" s="43"/>
      <c r="P212" s="43"/>
      <c r="Q212" s="51">
        <f t="shared" si="19"/>
        <v>0.00608333333333333</v>
      </c>
    </row>
    <row r="213" spans="1:17">
      <c r="A213" s="18" t="s">
        <v>243</v>
      </c>
      <c r="B213" s="19" t="s">
        <v>258</v>
      </c>
      <c r="C213" s="19" t="s">
        <v>264</v>
      </c>
      <c r="D213" s="20">
        <v>45993</v>
      </c>
      <c r="E213" s="21">
        <v>0.986301369863014</v>
      </c>
      <c r="F213" s="22"/>
      <c r="G213" s="23"/>
      <c r="H213" s="23"/>
      <c r="I213" s="37">
        <v>200</v>
      </c>
      <c r="J213" s="38">
        <v>0</v>
      </c>
      <c r="K213" s="39">
        <v>4.8</v>
      </c>
      <c r="L213" s="40">
        <v>0.18</v>
      </c>
      <c r="M213" s="41">
        <v>4.98</v>
      </c>
      <c r="N213" s="42"/>
      <c r="O213" s="43"/>
      <c r="P213" s="43"/>
      <c r="Q213" s="51">
        <f t="shared" si="19"/>
        <v>0.30295</v>
      </c>
    </row>
    <row r="214" spans="1:17">
      <c r="A214" s="24" t="s">
        <v>243</v>
      </c>
      <c r="B214" s="25" t="s">
        <v>265</v>
      </c>
      <c r="C214" s="26"/>
      <c r="D214" s="26"/>
      <c r="E214" s="27">
        <v>12</v>
      </c>
      <c r="F214" s="28">
        <v>540</v>
      </c>
      <c r="G214" s="26">
        <v>880</v>
      </c>
      <c r="H214" s="26">
        <v>500</v>
      </c>
      <c r="I214" s="27">
        <v>1920</v>
      </c>
      <c r="J214" s="44">
        <v>794.23</v>
      </c>
      <c r="K214" s="45">
        <v>776.13</v>
      </c>
      <c r="L214" s="46">
        <v>839.42</v>
      </c>
      <c r="M214" s="47">
        <v>2409.78</v>
      </c>
      <c r="N214" s="48">
        <f t="shared" si="16"/>
        <v>1.4707962962963</v>
      </c>
      <c r="O214" s="49">
        <f t="shared" si="17"/>
        <v>0.881965909090909</v>
      </c>
      <c r="P214" s="49">
        <f t="shared" si="18"/>
        <v>1.67884</v>
      </c>
      <c r="Q214" s="52">
        <f t="shared" si="19"/>
        <v>1.25509375</v>
      </c>
    </row>
    <row r="215" spans="1:17">
      <c r="A215" s="18" t="s">
        <v>243</v>
      </c>
      <c r="B215" s="19"/>
      <c r="C215" s="19" t="s">
        <v>266</v>
      </c>
      <c r="D215" s="20">
        <v>42124</v>
      </c>
      <c r="E215" s="21">
        <v>12</v>
      </c>
      <c r="F215" s="18">
        <v>0</v>
      </c>
      <c r="G215" s="19">
        <v>350</v>
      </c>
      <c r="H215" s="19">
        <v>350</v>
      </c>
      <c r="I215" s="37">
        <v>700</v>
      </c>
      <c r="J215" s="38">
        <v>0.58</v>
      </c>
      <c r="K215" s="39">
        <v>609.89</v>
      </c>
      <c r="L215" s="40">
        <v>451.22</v>
      </c>
      <c r="M215" s="41">
        <v>1061.69</v>
      </c>
      <c r="N215" s="42"/>
      <c r="O215" s="43">
        <f t="shared" si="17"/>
        <v>1.74254285714286</v>
      </c>
      <c r="P215" s="43">
        <f t="shared" si="18"/>
        <v>1.2892</v>
      </c>
      <c r="Q215" s="51">
        <f t="shared" si="19"/>
        <v>1.5167</v>
      </c>
    </row>
    <row r="216" spans="1:17">
      <c r="A216" s="18" t="s">
        <v>243</v>
      </c>
      <c r="B216" s="19"/>
      <c r="C216" s="19" t="s">
        <v>267</v>
      </c>
      <c r="D216" s="20">
        <v>45833</v>
      </c>
      <c r="E216" s="21">
        <v>6.24657534246575</v>
      </c>
      <c r="F216" s="22"/>
      <c r="G216" s="23"/>
      <c r="H216" s="23"/>
      <c r="I216" s="37">
        <v>300</v>
      </c>
      <c r="J216" s="38">
        <v>0</v>
      </c>
      <c r="K216" s="39">
        <v>122.41</v>
      </c>
      <c r="L216" s="40">
        <v>13.14</v>
      </c>
      <c r="M216" s="41">
        <v>135.55</v>
      </c>
      <c r="N216" s="42"/>
      <c r="O216" s="43"/>
      <c r="P216" s="43"/>
      <c r="Q216" s="51">
        <f t="shared" si="19"/>
        <v>0.867995614035088</v>
      </c>
    </row>
    <row r="217" spans="1:17">
      <c r="A217" s="24" t="s">
        <v>243</v>
      </c>
      <c r="B217" s="26" t="s">
        <v>268</v>
      </c>
      <c r="C217" s="26"/>
      <c r="D217" s="26"/>
      <c r="E217" s="27">
        <v>12</v>
      </c>
      <c r="F217" s="28">
        <v>1350</v>
      </c>
      <c r="G217" s="26">
        <v>2800</v>
      </c>
      <c r="H217" s="26">
        <v>3250</v>
      </c>
      <c r="I217" s="27">
        <v>7400</v>
      </c>
      <c r="J217" s="44">
        <v>1668.26</v>
      </c>
      <c r="K217" s="45">
        <v>3258</v>
      </c>
      <c r="L217" s="46">
        <v>3579.48</v>
      </c>
      <c r="M217" s="47">
        <v>8505.74</v>
      </c>
      <c r="N217" s="48">
        <f t="shared" si="16"/>
        <v>1.23574814814815</v>
      </c>
      <c r="O217" s="49">
        <f t="shared" si="17"/>
        <v>1.16357142857143</v>
      </c>
      <c r="P217" s="49">
        <f t="shared" si="18"/>
        <v>1.10137846153846</v>
      </c>
      <c r="Q217" s="52">
        <f t="shared" si="19"/>
        <v>1.14942432432432</v>
      </c>
    </row>
    <row r="218" spans="1:17">
      <c r="A218" s="18" t="s">
        <v>269</v>
      </c>
      <c r="B218" s="19" t="s">
        <v>270</v>
      </c>
      <c r="C218" s="19" t="s">
        <v>271</v>
      </c>
      <c r="D218" s="20">
        <v>39552</v>
      </c>
      <c r="E218" s="21">
        <v>12</v>
      </c>
      <c r="F218" s="18">
        <v>227</v>
      </c>
      <c r="G218" s="19">
        <v>5</v>
      </c>
      <c r="H218" s="19">
        <v>15</v>
      </c>
      <c r="I218" s="37">
        <v>247</v>
      </c>
      <c r="J218" s="38">
        <v>183.18</v>
      </c>
      <c r="K218" s="39">
        <v>2.42</v>
      </c>
      <c r="L218" s="40">
        <v>10.93</v>
      </c>
      <c r="M218" s="41">
        <v>196.53</v>
      </c>
      <c r="N218" s="42">
        <f t="shared" si="16"/>
        <v>0.806960352422908</v>
      </c>
      <c r="O218" s="43">
        <f t="shared" si="17"/>
        <v>0.484</v>
      </c>
      <c r="P218" s="43">
        <f t="shared" si="18"/>
        <v>0.728666666666667</v>
      </c>
      <c r="Q218" s="51">
        <f t="shared" si="19"/>
        <v>0.795668016194332</v>
      </c>
    </row>
    <row r="219" spans="1:17">
      <c r="A219" s="18" t="s">
        <v>269</v>
      </c>
      <c r="B219" s="19" t="s">
        <v>270</v>
      </c>
      <c r="C219" s="19" t="s">
        <v>272</v>
      </c>
      <c r="D219" s="20">
        <v>40825</v>
      </c>
      <c r="E219" s="21">
        <v>12</v>
      </c>
      <c r="F219" s="18">
        <v>350</v>
      </c>
      <c r="G219" s="19">
        <v>5</v>
      </c>
      <c r="H219" s="19">
        <v>20</v>
      </c>
      <c r="I219" s="37">
        <v>375</v>
      </c>
      <c r="J219" s="38">
        <v>321.13</v>
      </c>
      <c r="K219" s="39">
        <v>0.53</v>
      </c>
      <c r="L219" s="40">
        <v>4.2</v>
      </c>
      <c r="M219" s="41">
        <v>325.86</v>
      </c>
      <c r="N219" s="42">
        <f t="shared" si="16"/>
        <v>0.917514285714286</v>
      </c>
      <c r="O219" s="43">
        <f t="shared" si="17"/>
        <v>0.106</v>
      </c>
      <c r="P219" s="43">
        <f t="shared" si="18"/>
        <v>0.21</v>
      </c>
      <c r="Q219" s="51">
        <f t="shared" si="19"/>
        <v>0.86896</v>
      </c>
    </row>
    <row r="220" spans="1:17">
      <c r="A220" s="18" t="s">
        <v>269</v>
      </c>
      <c r="B220" s="19" t="s">
        <v>270</v>
      </c>
      <c r="C220" s="19" t="s">
        <v>273</v>
      </c>
      <c r="D220" s="20">
        <v>42810</v>
      </c>
      <c r="E220" s="21">
        <v>12</v>
      </c>
      <c r="F220" s="18">
        <v>130</v>
      </c>
      <c r="G220" s="19">
        <v>5</v>
      </c>
      <c r="H220" s="19">
        <v>10</v>
      </c>
      <c r="I220" s="37">
        <v>145</v>
      </c>
      <c r="J220" s="38">
        <v>141.98</v>
      </c>
      <c r="K220" s="39">
        <v>5.95</v>
      </c>
      <c r="L220" s="40">
        <v>7.01</v>
      </c>
      <c r="M220" s="41">
        <v>154.94</v>
      </c>
      <c r="N220" s="42">
        <f t="shared" si="16"/>
        <v>1.09215384615385</v>
      </c>
      <c r="O220" s="43">
        <f t="shared" si="17"/>
        <v>1.19</v>
      </c>
      <c r="P220" s="43">
        <f t="shared" si="18"/>
        <v>0.701</v>
      </c>
      <c r="Q220" s="51">
        <f t="shared" si="19"/>
        <v>1.06855172413793</v>
      </c>
    </row>
    <row r="221" spans="1:17">
      <c r="A221" s="24" t="s">
        <v>269</v>
      </c>
      <c r="B221" s="25" t="s">
        <v>274</v>
      </c>
      <c r="C221" s="26"/>
      <c r="D221" s="26"/>
      <c r="E221" s="27">
        <v>12</v>
      </c>
      <c r="F221" s="28">
        <v>782</v>
      </c>
      <c r="G221" s="26">
        <v>28</v>
      </c>
      <c r="H221" s="26">
        <v>115</v>
      </c>
      <c r="I221" s="27">
        <v>925</v>
      </c>
      <c r="J221" s="44">
        <v>647.23</v>
      </c>
      <c r="K221" s="45">
        <v>10.02</v>
      </c>
      <c r="L221" s="46">
        <v>22.27</v>
      </c>
      <c r="M221" s="47">
        <v>679.52</v>
      </c>
      <c r="N221" s="48">
        <f t="shared" si="16"/>
        <v>0.827659846547315</v>
      </c>
      <c r="O221" s="49">
        <f t="shared" si="17"/>
        <v>0.357857142857143</v>
      </c>
      <c r="P221" s="49">
        <f t="shared" si="18"/>
        <v>0.193652173913043</v>
      </c>
      <c r="Q221" s="52">
        <f t="shared" si="19"/>
        <v>0.734616216216216</v>
      </c>
    </row>
    <row r="222" spans="1:17">
      <c r="A222" s="18" t="s">
        <v>269</v>
      </c>
      <c r="B222" s="19" t="s">
        <v>275</v>
      </c>
      <c r="C222" s="19" t="s">
        <v>276</v>
      </c>
      <c r="D222" s="20">
        <v>41616</v>
      </c>
      <c r="E222" s="21">
        <v>12</v>
      </c>
      <c r="F222" s="18">
        <v>240</v>
      </c>
      <c r="G222" s="19">
        <v>5</v>
      </c>
      <c r="H222" s="19">
        <v>5</v>
      </c>
      <c r="I222" s="37">
        <v>250</v>
      </c>
      <c r="J222" s="38">
        <v>144</v>
      </c>
      <c r="K222" s="39">
        <v>0.52</v>
      </c>
      <c r="L222" s="40">
        <v>2.09</v>
      </c>
      <c r="M222" s="41">
        <v>146.61</v>
      </c>
      <c r="N222" s="42">
        <f t="shared" si="16"/>
        <v>0.6</v>
      </c>
      <c r="O222" s="43">
        <f t="shared" si="17"/>
        <v>0.104</v>
      </c>
      <c r="P222" s="43">
        <f t="shared" si="18"/>
        <v>0.418</v>
      </c>
      <c r="Q222" s="51">
        <f t="shared" si="19"/>
        <v>0.58644</v>
      </c>
    </row>
    <row r="223" spans="1:17">
      <c r="A223" s="18" t="s">
        <v>269</v>
      </c>
      <c r="B223" s="19" t="s">
        <v>275</v>
      </c>
      <c r="C223" s="19" t="s">
        <v>277</v>
      </c>
      <c r="D223" s="20">
        <v>43347</v>
      </c>
      <c r="E223" s="21">
        <v>12</v>
      </c>
      <c r="F223" s="18">
        <v>400</v>
      </c>
      <c r="G223" s="19">
        <v>60</v>
      </c>
      <c r="H223" s="19">
        <v>100</v>
      </c>
      <c r="I223" s="37">
        <v>560</v>
      </c>
      <c r="J223" s="38">
        <v>390.68</v>
      </c>
      <c r="K223" s="39">
        <v>46.61</v>
      </c>
      <c r="L223" s="40">
        <v>37.7</v>
      </c>
      <c r="M223" s="41">
        <v>474.99</v>
      </c>
      <c r="N223" s="42">
        <f t="shared" si="16"/>
        <v>0.9767</v>
      </c>
      <c r="O223" s="43">
        <f t="shared" si="17"/>
        <v>0.776833333333333</v>
      </c>
      <c r="P223" s="43">
        <f t="shared" si="18"/>
        <v>0.377</v>
      </c>
      <c r="Q223" s="51">
        <f t="shared" si="19"/>
        <v>0.848196428571429</v>
      </c>
    </row>
    <row r="224" spans="1:17">
      <c r="A224" s="18" t="s">
        <v>269</v>
      </c>
      <c r="B224" s="19" t="s">
        <v>275</v>
      </c>
      <c r="C224" s="19" t="s">
        <v>278</v>
      </c>
      <c r="D224" s="20">
        <v>43872</v>
      </c>
      <c r="E224" s="21">
        <v>12</v>
      </c>
      <c r="F224" s="18">
        <v>140</v>
      </c>
      <c r="G224" s="19">
        <v>5</v>
      </c>
      <c r="H224" s="19">
        <v>5</v>
      </c>
      <c r="I224" s="37">
        <v>150</v>
      </c>
      <c r="J224" s="38">
        <v>169.36</v>
      </c>
      <c r="K224" s="39">
        <v>1.84</v>
      </c>
      <c r="L224" s="40">
        <v>3.09</v>
      </c>
      <c r="M224" s="41">
        <v>174.29</v>
      </c>
      <c r="N224" s="42">
        <f t="shared" si="16"/>
        <v>1.20971428571429</v>
      </c>
      <c r="O224" s="43">
        <f t="shared" si="17"/>
        <v>0.368</v>
      </c>
      <c r="P224" s="43">
        <f t="shared" si="18"/>
        <v>0.618</v>
      </c>
      <c r="Q224" s="51">
        <f t="shared" si="19"/>
        <v>1.16193333333333</v>
      </c>
    </row>
    <row r="225" spans="1:17">
      <c r="A225" s="18" t="s">
        <v>269</v>
      </c>
      <c r="B225" s="19" t="s">
        <v>275</v>
      </c>
      <c r="C225" s="19" t="s">
        <v>279</v>
      </c>
      <c r="D225" s="20">
        <v>45615</v>
      </c>
      <c r="E225" s="21">
        <v>12</v>
      </c>
      <c r="F225" s="18">
        <v>100</v>
      </c>
      <c r="G225" s="19">
        <v>20</v>
      </c>
      <c r="H225" s="19">
        <v>50</v>
      </c>
      <c r="I225" s="37">
        <v>170</v>
      </c>
      <c r="J225" s="38">
        <v>68.45</v>
      </c>
      <c r="K225" s="39">
        <v>10.46</v>
      </c>
      <c r="L225" s="40">
        <v>12.64</v>
      </c>
      <c r="M225" s="41">
        <v>91.55</v>
      </c>
      <c r="N225" s="42">
        <f t="shared" si="16"/>
        <v>0.6845</v>
      </c>
      <c r="O225" s="43">
        <f t="shared" si="17"/>
        <v>0.523</v>
      </c>
      <c r="P225" s="43">
        <f t="shared" si="18"/>
        <v>0.2528</v>
      </c>
      <c r="Q225" s="51">
        <f t="shared" si="19"/>
        <v>0.538529411764706</v>
      </c>
    </row>
    <row r="226" spans="1:17">
      <c r="A226" s="24" t="s">
        <v>269</v>
      </c>
      <c r="B226" s="25" t="s">
        <v>280</v>
      </c>
      <c r="C226" s="26"/>
      <c r="D226" s="26"/>
      <c r="E226" s="27">
        <v>12</v>
      </c>
      <c r="F226" s="28">
        <v>880</v>
      </c>
      <c r="G226" s="26">
        <v>90</v>
      </c>
      <c r="H226" s="26">
        <v>160</v>
      </c>
      <c r="I226" s="27">
        <v>1130</v>
      </c>
      <c r="J226" s="44">
        <v>772.48</v>
      </c>
      <c r="K226" s="45">
        <v>59.43</v>
      </c>
      <c r="L226" s="46">
        <v>55.53</v>
      </c>
      <c r="M226" s="47">
        <v>887.44</v>
      </c>
      <c r="N226" s="48">
        <f t="shared" si="16"/>
        <v>0.877818181818182</v>
      </c>
      <c r="O226" s="49">
        <f t="shared" si="17"/>
        <v>0.660333333333333</v>
      </c>
      <c r="P226" s="49">
        <f t="shared" si="18"/>
        <v>0.3470625</v>
      </c>
      <c r="Q226" s="52">
        <f t="shared" si="19"/>
        <v>0.785345132743363</v>
      </c>
    </row>
    <row r="227" spans="1:17">
      <c r="A227" s="18" t="s">
        <v>269</v>
      </c>
      <c r="B227" s="19" t="s">
        <v>281</v>
      </c>
      <c r="C227" s="19" t="s">
        <v>282</v>
      </c>
      <c r="D227" s="20">
        <v>39535</v>
      </c>
      <c r="E227" s="21">
        <v>12</v>
      </c>
      <c r="F227" s="18">
        <v>60</v>
      </c>
      <c r="G227" s="19">
        <v>20</v>
      </c>
      <c r="H227" s="19">
        <v>40</v>
      </c>
      <c r="I227" s="37">
        <v>120</v>
      </c>
      <c r="J227" s="38">
        <v>30.35</v>
      </c>
      <c r="K227" s="39">
        <v>6.3</v>
      </c>
      <c r="L227" s="40">
        <v>31.43</v>
      </c>
      <c r="M227" s="41">
        <v>68.08</v>
      </c>
      <c r="N227" s="42">
        <f t="shared" si="16"/>
        <v>0.505833333333333</v>
      </c>
      <c r="O227" s="43">
        <f t="shared" si="17"/>
        <v>0.315</v>
      </c>
      <c r="P227" s="43">
        <f t="shared" si="18"/>
        <v>0.78575</v>
      </c>
      <c r="Q227" s="51">
        <f t="shared" si="19"/>
        <v>0.567333333333333</v>
      </c>
    </row>
    <row r="228" spans="1:17">
      <c r="A228" s="18" t="s">
        <v>269</v>
      </c>
      <c r="B228" s="19" t="s">
        <v>281</v>
      </c>
      <c r="C228" s="19" t="s">
        <v>283</v>
      </c>
      <c r="D228" s="20">
        <v>43929</v>
      </c>
      <c r="E228" s="21">
        <v>12</v>
      </c>
      <c r="F228" s="18">
        <v>320</v>
      </c>
      <c r="G228" s="19">
        <v>30</v>
      </c>
      <c r="H228" s="19">
        <v>20</v>
      </c>
      <c r="I228" s="37">
        <v>370</v>
      </c>
      <c r="J228" s="38">
        <v>267.88</v>
      </c>
      <c r="K228" s="39">
        <v>40.14</v>
      </c>
      <c r="L228" s="40">
        <v>37.62</v>
      </c>
      <c r="M228" s="41">
        <v>345.64</v>
      </c>
      <c r="N228" s="42">
        <f t="shared" si="16"/>
        <v>0.837125</v>
      </c>
      <c r="O228" s="43">
        <f t="shared" si="17"/>
        <v>1.338</v>
      </c>
      <c r="P228" s="43">
        <f t="shared" si="18"/>
        <v>1.881</v>
      </c>
      <c r="Q228" s="51">
        <f t="shared" si="19"/>
        <v>0.934162162162162</v>
      </c>
    </row>
    <row r="229" spans="1:17">
      <c r="A229" s="18" t="s">
        <v>269</v>
      </c>
      <c r="B229" s="19" t="s">
        <v>281</v>
      </c>
      <c r="C229" s="19" t="s">
        <v>284</v>
      </c>
      <c r="D229" s="20">
        <v>44020</v>
      </c>
      <c r="E229" s="21">
        <v>12</v>
      </c>
      <c r="F229" s="18">
        <v>600</v>
      </c>
      <c r="G229" s="19">
        <v>0</v>
      </c>
      <c r="H229" s="19">
        <v>10</v>
      </c>
      <c r="I229" s="37">
        <v>610</v>
      </c>
      <c r="J229" s="38">
        <v>1344.67</v>
      </c>
      <c r="K229" s="39">
        <v>0.24</v>
      </c>
      <c r="L229" s="40">
        <v>15.64</v>
      </c>
      <c r="M229" s="41">
        <v>1360.55</v>
      </c>
      <c r="N229" s="42">
        <f t="shared" si="16"/>
        <v>2.24111666666667</v>
      </c>
      <c r="O229" s="43"/>
      <c r="P229" s="43">
        <f t="shared" si="18"/>
        <v>1.564</v>
      </c>
      <c r="Q229" s="51">
        <f t="shared" si="19"/>
        <v>2.23040983606557</v>
      </c>
    </row>
    <row r="230" spans="1:17">
      <c r="A230" s="18" t="s">
        <v>269</v>
      </c>
      <c r="B230" s="19" t="s">
        <v>281</v>
      </c>
      <c r="C230" s="19" t="s">
        <v>285</v>
      </c>
      <c r="D230" s="20">
        <v>44687</v>
      </c>
      <c r="E230" s="21">
        <v>12</v>
      </c>
      <c r="F230" s="18">
        <v>5</v>
      </c>
      <c r="G230" s="19">
        <v>25</v>
      </c>
      <c r="H230" s="19">
        <v>95</v>
      </c>
      <c r="I230" s="37">
        <v>125</v>
      </c>
      <c r="J230" s="38">
        <v>1.77</v>
      </c>
      <c r="K230" s="39">
        <v>79.39</v>
      </c>
      <c r="L230" s="40">
        <v>105.26</v>
      </c>
      <c r="M230" s="41">
        <v>186.42</v>
      </c>
      <c r="N230" s="42">
        <f t="shared" si="16"/>
        <v>0.354</v>
      </c>
      <c r="O230" s="43">
        <f t="shared" si="17"/>
        <v>3.1756</v>
      </c>
      <c r="P230" s="43">
        <f t="shared" si="18"/>
        <v>1.108</v>
      </c>
      <c r="Q230" s="51">
        <f t="shared" si="19"/>
        <v>1.49136</v>
      </c>
    </row>
    <row r="231" spans="1:17">
      <c r="A231" s="18" t="s">
        <v>269</v>
      </c>
      <c r="B231" s="19" t="s">
        <v>281</v>
      </c>
      <c r="C231" s="19" t="s">
        <v>286</v>
      </c>
      <c r="D231" s="20">
        <v>43000</v>
      </c>
      <c r="E231" s="21">
        <v>12</v>
      </c>
      <c r="F231" s="18">
        <v>5</v>
      </c>
      <c r="G231" s="19">
        <v>50</v>
      </c>
      <c r="H231" s="19">
        <v>78</v>
      </c>
      <c r="I231" s="37">
        <v>133</v>
      </c>
      <c r="J231" s="38">
        <v>5.31</v>
      </c>
      <c r="K231" s="39">
        <v>28.6</v>
      </c>
      <c r="L231" s="40">
        <v>57.41</v>
      </c>
      <c r="M231" s="41">
        <v>91.32</v>
      </c>
      <c r="N231" s="42">
        <f t="shared" si="16"/>
        <v>1.062</v>
      </c>
      <c r="O231" s="43">
        <f t="shared" si="17"/>
        <v>0.572</v>
      </c>
      <c r="P231" s="43">
        <f t="shared" si="18"/>
        <v>0.736025641025641</v>
      </c>
      <c r="Q231" s="51">
        <f t="shared" si="19"/>
        <v>0.686616541353383</v>
      </c>
    </row>
    <row r="232" spans="1:17">
      <c r="A232" s="18" t="s">
        <v>269</v>
      </c>
      <c r="B232" s="19" t="s">
        <v>281</v>
      </c>
      <c r="C232" s="19" t="s">
        <v>287</v>
      </c>
      <c r="D232" s="20">
        <v>45147</v>
      </c>
      <c r="E232" s="21">
        <v>12</v>
      </c>
      <c r="F232" s="18">
        <v>5</v>
      </c>
      <c r="G232" s="19">
        <v>5</v>
      </c>
      <c r="H232" s="19">
        <v>112</v>
      </c>
      <c r="I232" s="37">
        <v>122</v>
      </c>
      <c r="J232" s="38">
        <v>46.15</v>
      </c>
      <c r="K232" s="39">
        <v>0.6</v>
      </c>
      <c r="L232" s="40">
        <v>46.56</v>
      </c>
      <c r="M232" s="41">
        <v>93.31</v>
      </c>
      <c r="N232" s="42">
        <f t="shared" si="16"/>
        <v>9.23</v>
      </c>
      <c r="O232" s="43">
        <f t="shared" si="17"/>
        <v>0.12</v>
      </c>
      <c r="P232" s="43">
        <f t="shared" si="18"/>
        <v>0.415714285714286</v>
      </c>
      <c r="Q232" s="51">
        <f t="shared" si="19"/>
        <v>0.76483606557377</v>
      </c>
    </row>
    <row r="233" spans="1:17">
      <c r="A233" s="18" t="s">
        <v>269</v>
      </c>
      <c r="B233" s="19" t="s">
        <v>281</v>
      </c>
      <c r="C233" s="19" t="s">
        <v>288</v>
      </c>
      <c r="D233" s="20">
        <v>45615</v>
      </c>
      <c r="E233" s="21">
        <v>12</v>
      </c>
      <c r="F233" s="18">
        <v>110</v>
      </c>
      <c r="G233" s="19">
        <v>5</v>
      </c>
      <c r="H233" s="19">
        <v>5</v>
      </c>
      <c r="I233" s="37">
        <v>120</v>
      </c>
      <c r="J233" s="38">
        <v>88.51</v>
      </c>
      <c r="K233" s="39">
        <v>0.94</v>
      </c>
      <c r="L233" s="40">
        <v>0.99</v>
      </c>
      <c r="M233" s="41">
        <v>90.44</v>
      </c>
      <c r="N233" s="42">
        <f t="shared" si="16"/>
        <v>0.804636363636364</v>
      </c>
      <c r="O233" s="43">
        <f t="shared" si="17"/>
        <v>0.188</v>
      </c>
      <c r="P233" s="43">
        <f t="shared" si="18"/>
        <v>0.198</v>
      </c>
      <c r="Q233" s="51">
        <f t="shared" si="19"/>
        <v>0.753666666666667</v>
      </c>
    </row>
    <row r="234" spans="1:17">
      <c r="A234" s="18" t="s">
        <v>269</v>
      </c>
      <c r="B234" s="19" t="s">
        <v>281</v>
      </c>
      <c r="C234" s="19" t="s">
        <v>289</v>
      </c>
      <c r="D234" s="20">
        <v>45985</v>
      </c>
      <c r="E234" s="21">
        <v>1.24931506849315</v>
      </c>
      <c r="F234" s="22"/>
      <c r="G234" s="23"/>
      <c r="H234" s="23"/>
      <c r="I234" s="37">
        <v>135</v>
      </c>
      <c r="J234" s="38">
        <v>6.35</v>
      </c>
      <c r="K234" s="39">
        <v>0</v>
      </c>
      <c r="L234" s="40">
        <v>10.25</v>
      </c>
      <c r="M234" s="41">
        <v>16.6</v>
      </c>
      <c r="N234" s="42"/>
      <c r="O234" s="43"/>
      <c r="P234" s="43"/>
      <c r="Q234" s="51">
        <f t="shared" si="19"/>
        <v>1.18109161793372</v>
      </c>
    </row>
    <row r="235" spans="1:17">
      <c r="A235" s="24" t="s">
        <v>269</v>
      </c>
      <c r="B235" s="25" t="s">
        <v>290</v>
      </c>
      <c r="C235" s="26"/>
      <c r="D235" s="26"/>
      <c r="E235" s="27">
        <v>12</v>
      </c>
      <c r="F235" s="28"/>
      <c r="G235" s="26"/>
      <c r="H235" s="26"/>
      <c r="I235" s="27">
        <v>1880</v>
      </c>
      <c r="J235" s="44">
        <v>1945.85</v>
      </c>
      <c r="K235" s="45">
        <v>158.08</v>
      </c>
      <c r="L235" s="46">
        <v>304.5</v>
      </c>
      <c r="M235" s="47">
        <v>2408.43</v>
      </c>
      <c r="N235" s="48"/>
      <c r="O235" s="49"/>
      <c r="P235" s="49"/>
      <c r="Q235" s="52">
        <f t="shared" si="19"/>
        <v>1.28107978723404</v>
      </c>
    </row>
    <row r="236" spans="1:17">
      <c r="A236" s="18" t="s">
        <v>269</v>
      </c>
      <c r="B236" s="19" t="s">
        <v>291</v>
      </c>
      <c r="C236" s="19" t="s">
        <v>292</v>
      </c>
      <c r="D236" s="20">
        <v>43006</v>
      </c>
      <c r="E236" s="21">
        <v>12</v>
      </c>
      <c r="F236" s="18">
        <v>80</v>
      </c>
      <c r="G236" s="19">
        <v>40</v>
      </c>
      <c r="H236" s="19">
        <v>90</v>
      </c>
      <c r="I236" s="37">
        <v>210</v>
      </c>
      <c r="J236" s="38">
        <v>42.31</v>
      </c>
      <c r="K236" s="39">
        <v>34.86</v>
      </c>
      <c r="L236" s="40">
        <v>51.42</v>
      </c>
      <c r="M236" s="41">
        <v>128.59</v>
      </c>
      <c r="N236" s="42">
        <f t="shared" si="16"/>
        <v>0.528875</v>
      </c>
      <c r="O236" s="43">
        <f t="shared" si="17"/>
        <v>0.8715</v>
      </c>
      <c r="P236" s="43">
        <f t="shared" si="18"/>
        <v>0.571333333333333</v>
      </c>
      <c r="Q236" s="51">
        <f t="shared" si="19"/>
        <v>0.612333333333333</v>
      </c>
    </row>
    <row r="237" spans="1:17">
      <c r="A237" s="18" t="s">
        <v>269</v>
      </c>
      <c r="B237" s="19" t="s">
        <v>291</v>
      </c>
      <c r="C237" s="19" t="s">
        <v>293</v>
      </c>
      <c r="D237" s="20">
        <v>45582</v>
      </c>
      <c r="E237" s="21">
        <v>12</v>
      </c>
      <c r="F237" s="18">
        <v>300</v>
      </c>
      <c r="G237" s="19">
        <v>5</v>
      </c>
      <c r="H237" s="19">
        <v>5</v>
      </c>
      <c r="I237" s="37">
        <v>310</v>
      </c>
      <c r="J237" s="38">
        <v>450.11</v>
      </c>
      <c r="K237" s="39">
        <v>0.5</v>
      </c>
      <c r="L237" s="40">
        <v>11.74</v>
      </c>
      <c r="M237" s="41">
        <v>462.35</v>
      </c>
      <c r="N237" s="42">
        <f t="shared" si="16"/>
        <v>1.50036666666667</v>
      </c>
      <c r="O237" s="43">
        <f t="shared" si="17"/>
        <v>0.1</v>
      </c>
      <c r="P237" s="43">
        <f t="shared" si="18"/>
        <v>2.348</v>
      </c>
      <c r="Q237" s="51">
        <f t="shared" si="19"/>
        <v>1.49145161290323</v>
      </c>
    </row>
    <row r="238" spans="1:17">
      <c r="A238" s="18" t="s">
        <v>269</v>
      </c>
      <c r="B238" s="19" t="s">
        <v>291</v>
      </c>
      <c r="C238" s="19" t="s">
        <v>294</v>
      </c>
      <c r="D238" s="20">
        <v>45737</v>
      </c>
      <c r="E238" s="21">
        <v>9.4027397260274</v>
      </c>
      <c r="F238" s="22"/>
      <c r="G238" s="23"/>
      <c r="H238" s="23"/>
      <c r="I238" s="37">
        <v>450</v>
      </c>
      <c r="J238" s="38">
        <v>132.02</v>
      </c>
      <c r="K238" s="39">
        <v>0</v>
      </c>
      <c r="L238" s="40">
        <v>0.64</v>
      </c>
      <c r="M238" s="41">
        <v>132.66</v>
      </c>
      <c r="N238" s="42"/>
      <c r="O238" s="43"/>
      <c r="P238" s="43"/>
      <c r="Q238" s="51">
        <f t="shared" si="19"/>
        <v>0.376230769230769</v>
      </c>
    </row>
    <row r="239" spans="1:17">
      <c r="A239" s="24" t="s">
        <v>269</v>
      </c>
      <c r="B239" s="25" t="s">
        <v>295</v>
      </c>
      <c r="C239" s="26"/>
      <c r="D239" s="26"/>
      <c r="E239" s="27">
        <v>9.53</v>
      </c>
      <c r="F239" s="28"/>
      <c r="G239" s="26"/>
      <c r="H239" s="26"/>
      <c r="I239" s="27">
        <v>800</v>
      </c>
      <c r="J239" s="44">
        <v>466.87</v>
      </c>
      <c r="K239" s="45">
        <v>24.2</v>
      </c>
      <c r="L239" s="46">
        <v>46.57</v>
      </c>
      <c r="M239" s="47">
        <v>537.64</v>
      </c>
      <c r="N239" s="48"/>
      <c r="O239" s="49"/>
      <c r="P239" s="49"/>
      <c r="Q239" s="52">
        <f t="shared" si="19"/>
        <v>0.846232948583421</v>
      </c>
    </row>
    <row r="240" spans="1:17">
      <c r="A240" s="18" t="s">
        <v>269</v>
      </c>
      <c r="B240" s="19" t="s">
        <v>296</v>
      </c>
      <c r="C240" s="19" t="s">
        <v>297</v>
      </c>
      <c r="D240" s="20">
        <v>45811</v>
      </c>
      <c r="E240" s="21">
        <v>6.96986301369863</v>
      </c>
      <c r="F240" s="22"/>
      <c r="G240" s="23"/>
      <c r="H240" s="23"/>
      <c r="I240" s="37">
        <v>150</v>
      </c>
      <c r="J240" s="38">
        <v>17.21</v>
      </c>
      <c r="K240" s="39">
        <v>36.32</v>
      </c>
      <c r="L240" s="40">
        <v>25.12</v>
      </c>
      <c r="M240" s="41">
        <v>78.65</v>
      </c>
      <c r="N240" s="42"/>
      <c r="O240" s="43"/>
      <c r="P240" s="43"/>
      <c r="Q240" s="51">
        <f t="shared" si="19"/>
        <v>0.902743710691824</v>
      </c>
    </row>
    <row r="241" spans="1:17">
      <c r="A241" s="18" t="s">
        <v>269</v>
      </c>
      <c r="B241" s="19" t="s">
        <v>296</v>
      </c>
      <c r="C241" s="19" t="s">
        <v>298</v>
      </c>
      <c r="D241" s="20">
        <v>45890</v>
      </c>
      <c r="E241" s="21">
        <v>4.37260273972603</v>
      </c>
      <c r="F241" s="22"/>
      <c r="G241" s="23"/>
      <c r="H241" s="23"/>
      <c r="I241" s="37">
        <v>170</v>
      </c>
      <c r="J241" s="38">
        <v>14.47</v>
      </c>
      <c r="K241" s="39">
        <v>44.53</v>
      </c>
      <c r="L241" s="40">
        <v>3.83</v>
      </c>
      <c r="M241" s="41">
        <v>62.83</v>
      </c>
      <c r="N241" s="42"/>
      <c r="O241" s="43"/>
      <c r="P241" s="43"/>
      <c r="Q241" s="51">
        <f t="shared" si="19"/>
        <v>1.01428350287483</v>
      </c>
    </row>
    <row r="242" spans="1:17">
      <c r="A242" s="18" t="s">
        <v>269</v>
      </c>
      <c r="B242" s="19" t="s">
        <v>296</v>
      </c>
      <c r="C242" s="19" t="s">
        <v>299</v>
      </c>
      <c r="D242" s="20">
        <v>45993</v>
      </c>
      <c r="E242" s="21">
        <v>0.986301369863014</v>
      </c>
      <c r="F242" s="22"/>
      <c r="G242" s="23"/>
      <c r="H242" s="23"/>
      <c r="I242" s="37">
        <v>130</v>
      </c>
      <c r="J242" s="38">
        <v>0.78</v>
      </c>
      <c r="K242" s="39">
        <v>0.12</v>
      </c>
      <c r="L242" s="40">
        <v>0.03</v>
      </c>
      <c r="M242" s="41">
        <v>0.93</v>
      </c>
      <c r="N242" s="42"/>
      <c r="O242" s="43"/>
      <c r="P242" s="43"/>
      <c r="Q242" s="51">
        <f t="shared" si="19"/>
        <v>0.0870384615384616</v>
      </c>
    </row>
    <row r="243" spans="1:17">
      <c r="A243" s="24" t="s">
        <v>269</v>
      </c>
      <c r="B243" s="25" t="s">
        <v>300</v>
      </c>
      <c r="C243" s="26"/>
      <c r="D243" s="26"/>
      <c r="E243" s="27">
        <v>6.97</v>
      </c>
      <c r="F243" s="28"/>
      <c r="G243" s="26"/>
      <c r="H243" s="26"/>
      <c r="I243" s="27">
        <v>600</v>
      </c>
      <c r="J243" s="44">
        <v>32.46</v>
      </c>
      <c r="K243" s="45">
        <v>80.96</v>
      </c>
      <c r="L243" s="46">
        <v>28.98</v>
      </c>
      <c r="M243" s="47">
        <v>142.4</v>
      </c>
      <c r="N243" s="48"/>
      <c r="O243" s="49"/>
      <c r="P243" s="49"/>
      <c r="Q243" s="52">
        <f t="shared" si="19"/>
        <v>0.408608321377331</v>
      </c>
    </row>
    <row r="244" spans="1:17">
      <c r="A244" s="18" t="s">
        <v>269</v>
      </c>
      <c r="B244" s="19" t="s">
        <v>301</v>
      </c>
      <c r="C244" s="19" t="s">
        <v>302</v>
      </c>
      <c r="D244" s="20">
        <v>40770</v>
      </c>
      <c r="E244" s="21">
        <v>12</v>
      </c>
      <c r="F244" s="18">
        <v>300</v>
      </c>
      <c r="G244" s="19">
        <v>5</v>
      </c>
      <c r="H244" s="19">
        <v>30</v>
      </c>
      <c r="I244" s="37">
        <v>335</v>
      </c>
      <c r="J244" s="38">
        <v>387.02</v>
      </c>
      <c r="K244" s="39">
        <v>1.38</v>
      </c>
      <c r="L244" s="40">
        <v>14.77</v>
      </c>
      <c r="M244" s="41">
        <v>403.17</v>
      </c>
      <c r="N244" s="42">
        <f t="shared" si="16"/>
        <v>1.29006666666667</v>
      </c>
      <c r="O244" s="43">
        <f t="shared" si="17"/>
        <v>0.276</v>
      </c>
      <c r="P244" s="43">
        <f t="shared" si="18"/>
        <v>0.492333333333333</v>
      </c>
      <c r="Q244" s="51">
        <f t="shared" si="19"/>
        <v>1.20349253731343</v>
      </c>
    </row>
    <row r="245" spans="1:17">
      <c r="A245" s="18" t="s">
        <v>269</v>
      </c>
      <c r="B245" s="19" t="s">
        <v>301</v>
      </c>
      <c r="C245" s="19" t="s">
        <v>303</v>
      </c>
      <c r="D245" s="20">
        <v>42270</v>
      </c>
      <c r="E245" s="21">
        <v>12</v>
      </c>
      <c r="F245" s="18">
        <v>220</v>
      </c>
      <c r="G245" s="19">
        <v>10</v>
      </c>
      <c r="H245" s="19">
        <v>35</v>
      </c>
      <c r="I245" s="37">
        <v>265</v>
      </c>
      <c r="J245" s="38">
        <v>114.44</v>
      </c>
      <c r="K245" s="39">
        <v>8.59</v>
      </c>
      <c r="L245" s="40">
        <v>39.07</v>
      </c>
      <c r="M245" s="41">
        <v>162.1</v>
      </c>
      <c r="N245" s="42">
        <f t="shared" si="16"/>
        <v>0.520181818181818</v>
      </c>
      <c r="O245" s="43">
        <f t="shared" si="17"/>
        <v>0.859</v>
      </c>
      <c r="P245" s="43">
        <f t="shared" si="18"/>
        <v>1.11628571428571</v>
      </c>
      <c r="Q245" s="51">
        <f t="shared" si="19"/>
        <v>0.611698113207547</v>
      </c>
    </row>
    <row r="246" spans="1:17">
      <c r="A246" s="18" t="s">
        <v>269</v>
      </c>
      <c r="B246" s="19" t="s">
        <v>301</v>
      </c>
      <c r="C246" s="19" t="s">
        <v>304</v>
      </c>
      <c r="D246" s="20">
        <v>44327</v>
      </c>
      <c r="E246" s="21">
        <v>12</v>
      </c>
      <c r="F246" s="18">
        <v>363</v>
      </c>
      <c r="G246" s="19">
        <v>10</v>
      </c>
      <c r="H246" s="19">
        <v>50</v>
      </c>
      <c r="I246" s="37">
        <v>423</v>
      </c>
      <c r="J246" s="38">
        <v>367.44</v>
      </c>
      <c r="K246" s="39">
        <v>9.7</v>
      </c>
      <c r="L246" s="40">
        <v>17.55</v>
      </c>
      <c r="M246" s="41">
        <v>394.69</v>
      </c>
      <c r="N246" s="42">
        <f t="shared" si="16"/>
        <v>1.01223140495868</v>
      </c>
      <c r="O246" s="43">
        <f t="shared" si="17"/>
        <v>0.97</v>
      </c>
      <c r="P246" s="43">
        <f t="shared" si="18"/>
        <v>0.351</v>
      </c>
      <c r="Q246" s="51">
        <f t="shared" si="19"/>
        <v>0.933073286052009</v>
      </c>
    </row>
    <row r="247" spans="1:17">
      <c r="A247" s="18" t="s">
        <v>269</v>
      </c>
      <c r="B247" s="19" t="s">
        <v>301</v>
      </c>
      <c r="C247" s="19" t="s">
        <v>305</v>
      </c>
      <c r="D247" s="20">
        <v>45909</v>
      </c>
      <c r="E247" s="21">
        <v>3.74794520547945</v>
      </c>
      <c r="F247" s="22"/>
      <c r="G247" s="23"/>
      <c r="H247" s="23"/>
      <c r="I247" s="37">
        <v>200</v>
      </c>
      <c r="J247" s="38">
        <v>69.57</v>
      </c>
      <c r="K247" s="39">
        <v>0.23</v>
      </c>
      <c r="L247" s="40">
        <v>3.19</v>
      </c>
      <c r="M247" s="41">
        <v>72.99</v>
      </c>
      <c r="N247" s="42"/>
      <c r="O247" s="43"/>
      <c r="P247" s="43"/>
      <c r="Q247" s="51">
        <f t="shared" si="19"/>
        <v>1.16848026315789</v>
      </c>
    </row>
    <row r="248" spans="1:17">
      <c r="A248" s="18" t="s">
        <v>269</v>
      </c>
      <c r="B248" s="19" t="s">
        <v>301</v>
      </c>
      <c r="C248" s="19" t="s">
        <v>306</v>
      </c>
      <c r="D248" s="20">
        <v>45663</v>
      </c>
      <c r="E248" s="21">
        <v>11.8356164383562</v>
      </c>
      <c r="F248" s="18">
        <v>200</v>
      </c>
      <c r="G248" s="19">
        <v>2</v>
      </c>
      <c r="H248" s="19">
        <v>5</v>
      </c>
      <c r="I248" s="37">
        <v>207</v>
      </c>
      <c r="J248" s="38">
        <v>153.38</v>
      </c>
      <c r="K248" s="39">
        <v>0.69</v>
      </c>
      <c r="L248" s="40">
        <v>11.27</v>
      </c>
      <c r="M248" s="41">
        <v>165.34</v>
      </c>
      <c r="N248" s="42">
        <f t="shared" si="16"/>
        <v>0.777551388888889</v>
      </c>
      <c r="O248" s="43">
        <f t="shared" si="17"/>
        <v>0.349791666666667</v>
      </c>
      <c r="P248" s="43">
        <f t="shared" si="18"/>
        <v>2.28530555555556</v>
      </c>
      <c r="Q248" s="51">
        <f t="shared" si="19"/>
        <v>0.809837627482555</v>
      </c>
    </row>
    <row r="249" spans="1:17">
      <c r="A249" s="24" t="s">
        <v>269</v>
      </c>
      <c r="B249" s="25" t="s">
        <v>307</v>
      </c>
      <c r="C249" s="26"/>
      <c r="D249" s="26"/>
      <c r="E249" s="27">
        <v>12</v>
      </c>
      <c r="F249" s="28">
        <v>1113</v>
      </c>
      <c r="G249" s="26">
        <v>27</v>
      </c>
      <c r="H249" s="26">
        <v>120</v>
      </c>
      <c r="I249" s="27">
        <v>1260</v>
      </c>
      <c r="J249" s="44">
        <v>1091.85</v>
      </c>
      <c r="K249" s="45">
        <v>20.59</v>
      </c>
      <c r="L249" s="46">
        <v>85.85</v>
      </c>
      <c r="M249" s="47">
        <v>1198.29</v>
      </c>
      <c r="N249" s="48">
        <f t="shared" si="16"/>
        <v>0.98099730458221</v>
      </c>
      <c r="O249" s="49">
        <f t="shared" si="17"/>
        <v>0.762592592592593</v>
      </c>
      <c r="P249" s="49">
        <f t="shared" si="18"/>
        <v>0.715416666666667</v>
      </c>
      <c r="Q249" s="52">
        <f t="shared" si="19"/>
        <v>0.951023809523809</v>
      </c>
    </row>
    <row r="250" spans="1:17">
      <c r="A250" s="18" t="s">
        <v>269</v>
      </c>
      <c r="B250" s="19" t="s">
        <v>308</v>
      </c>
      <c r="C250" s="19" t="s">
        <v>309</v>
      </c>
      <c r="D250" s="20">
        <v>39801</v>
      </c>
      <c r="E250" s="21">
        <v>12</v>
      </c>
      <c r="F250" s="18">
        <v>240</v>
      </c>
      <c r="G250" s="19">
        <v>30</v>
      </c>
      <c r="H250" s="19">
        <v>20</v>
      </c>
      <c r="I250" s="37">
        <v>290</v>
      </c>
      <c r="J250" s="38">
        <v>219.39</v>
      </c>
      <c r="K250" s="39">
        <v>43.96</v>
      </c>
      <c r="L250" s="40">
        <v>21.05</v>
      </c>
      <c r="M250" s="41">
        <v>284.4</v>
      </c>
      <c r="N250" s="42">
        <f t="shared" si="16"/>
        <v>0.914125</v>
      </c>
      <c r="O250" s="43">
        <f t="shared" si="17"/>
        <v>1.46533333333333</v>
      </c>
      <c r="P250" s="43">
        <f t="shared" si="18"/>
        <v>1.0525</v>
      </c>
      <c r="Q250" s="51">
        <f t="shared" si="19"/>
        <v>0.980689655172414</v>
      </c>
    </row>
    <row r="251" spans="1:17">
      <c r="A251" s="18" t="s">
        <v>269</v>
      </c>
      <c r="B251" s="19" t="s">
        <v>308</v>
      </c>
      <c r="C251" s="19" t="s">
        <v>310</v>
      </c>
      <c r="D251" s="20">
        <v>43929</v>
      </c>
      <c r="E251" s="21">
        <v>12</v>
      </c>
      <c r="F251" s="18">
        <v>635</v>
      </c>
      <c r="G251" s="19">
        <v>10</v>
      </c>
      <c r="H251" s="19">
        <v>15</v>
      </c>
      <c r="I251" s="37">
        <v>660</v>
      </c>
      <c r="J251" s="38">
        <v>907.67</v>
      </c>
      <c r="K251" s="39">
        <v>6.65</v>
      </c>
      <c r="L251" s="40">
        <v>51.83</v>
      </c>
      <c r="M251" s="41">
        <v>966.15</v>
      </c>
      <c r="N251" s="42">
        <f t="shared" si="16"/>
        <v>1.42940157480315</v>
      </c>
      <c r="O251" s="43">
        <f t="shared" si="17"/>
        <v>0.665</v>
      </c>
      <c r="P251" s="43">
        <f t="shared" si="18"/>
        <v>3.45533333333333</v>
      </c>
      <c r="Q251" s="51">
        <f t="shared" si="19"/>
        <v>1.46386363636364</v>
      </c>
    </row>
    <row r="252" spans="1:17">
      <c r="A252" s="18" t="s">
        <v>269</v>
      </c>
      <c r="B252" s="19" t="s">
        <v>308</v>
      </c>
      <c r="C252" s="19" t="s">
        <v>311</v>
      </c>
      <c r="D252" s="20">
        <v>45748</v>
      </c>
      <c r="E252" s="21">
        <v>9.04109589041096</v>
      </c>
      <c r="F252" s="22"/>
      <c r="G252" s="23"/>
      <c r="H252" s="23"/>
      <c r="I252" s="37">
        <v>365</v>
      </c>
      <c r="J252" s="38">
        <v>56.98</v>
      </c>
      <c r="K252" s="39">
        <v>6.75</v>
      </c>
      <c r="L252" s="40">
        <v>1.12</v>
      </c>
      <c r="M252" s="41">
        <v>64.85</v>
      </c>
      <c r="N252" s="42"/>
      <c r="O252" s="43"/>
      <c r="P252" s="43"/>
      <c r="Q252" s="51">
        <f t="shared" si="19"/>
        <v>0.235818181818182</v>
      </c>
    </row>
    <row r="253" spans="1:17">
      <c r="A253" s="24" t="s">
        <v>269</v>
      </c>
      <c r="B253" s="25" t="s">
        <v>312</v>
      </c>
      <c r="C253" s="26"/>
      <c r="D253" s="26"/>
      <c r="E253" s="27">
        <v>12</v>
      </c>
      <c r="F253" s="28"/>
      <c r="G253" s="26"/>
      <c r="H253" s="26"/>
      <c r="I253" s="27">
        <v>1155</v>
      </c>
      <c r="J253" s="44">
        <v>1202.79</v>
      </c>
      <c r="K253" s="45">
        <v>68.61</v>
      </c>
      <c r="L253" s="46">
        <v>122.88</v>
      </c>
      <c r="M253" s="47">
        <v>1394.28</v>
      </c>
      <c r="N253" s="48"/>
      <c r="O253" s="49"/>
      <c r="P253" s="49"/>
      <c r="Q253" s="52">
        <f t="shared" si="19"/>
        <v>1.20716883116883</v>
      </c>
    </row>
    <row r="254" spans="1:17">
      <c r="A254" s="24" t="s">
        <v>269</v>
      </c>
      <c r="B254" s="26" t="s">
        <v>313</v>
      </c>
      <c r="C254" s="26"/>
      <c r="D254" s="26"/>
      <c r="E254" s="27">
        <v>12</v>
      </c>
      <c r="F254" s="28">
        <v>5570</v>
      </c>
      <c r="G254" s="26">
        <v>380</v>
      </c>
      <c r="H254" s="26">
        <v>920</v>
      </c>
      <c r="I254" s="27">
        <v>6870</v>
      </c>
      <c r="J254" s="44">
        <v>6159.33</v>
      </c>
      <c r="K254" s="45">
        <v>422.18</v>
      </c>
      <c r="L254" s="46">
        <v>671.58</v>
      </c>
      <c r="M254" s="47">
        <v>7253.09</v>
      </c>
      <c r="N254" s="48">
        <f t="shared" si="16"/>
        <v>1.10580430879713</v>
      </c>
      <c r="O254" s="49">
        <f t="shared" si="17"/>
        <v>1.111</v>
      </c>
      <c r="P254" s="49">
        <f t="shared" si="18"/>
        <v>0.729978260869565</v>
      </c>
      <c r="Q254" s="52">
        <f t="shared" si="19"/>
        <v>1.05576273653566</v>
      </c>
    </row>
    <row r="255" spans="1:17">
      <c r="A255" s="18" t="s">
        <v>314</v>
      </c>
      <c r="B255" s="19" t="s">
        <v>315</v>
      </c>
      <c r="C255" s="19" t="s">
        <v>316</v>
      </c>
      <c r="D255" s="20">
        <v>42772</v>
      </c>
      <c r="E255" s="21">
        <v>12</v>
      </c>
      <c r="F255" s="18">
        <v>0</v>
      </c>
      <c r="G255" s="19">
        <v>930</v>
      </c>
      <c r="H255" s="19">
        <v>70</v>
      </c>
      <c r="I255" s="37">
        <v>1000</v>
      </c>
      <c r="J255" s="38">
        <v>0</v>
      </c>
      <c r="K255" s="39">
        <v>0</v>
      </c>
      <c r="L255" s="40">
        <v>0</v>
      </c>
      <c r="M255" s="41">
        <v>0</v>
      </c>
      <c r="N255" s="42"/>
      <c r="O255" s="43"/>
      <c r="P255" s="43">
        <f t="shared" si="18"/>
        <v>0</v>
      </c>
      <c r="Q255" s="51">
        <f t="shared" si="19"/>
        <v>0</v>
      </c>
    </row>
    <row r="256" spans="1:17">
      <c r="A256" s="18" t="s">
        <v>314</v>
      </c>
      <c r="B256" s="19" t="s">
        <v>315</v>
      </c>
      <c r="C256" s="19" t="s">
        <v>317</v>
      </c>
      <c r="D256" s="20">
        <v>43433</v>
      </c>
      <c r="E256" s="21">
        <v>12</v>
      </c>
      <c r="F256" s="18">
        <v>0</v>
      </c>
      <c r="G256" s="19">
        <v>500</v>
      </c>
      <c r="H256" s="19">
        <v>0</v>
      </c>
      <c r="I256" s="37">
        <v>500</v>
      </c>
      <c r="J256" s="38">
        <v>0</v>
      </c>
      <c r="K256" s="39">
        <v>426.83</v>
      </c>
      <c r="L256" s="40">
        <v>0.01</v>
      </c>
      <c r="M256" s="41">
        <v>426.84</v>
      </c>
      <c r="N256" s="42"/>
      <c r="O256" s="43">
        <f t="shared" si="17"/>
        <v>0.85366</v>
      </c>
      <c r="P256" s="43"/>
      <c r="Q256" s="51">
        <f t="shared" si="19"/>
        <v>0.85368</v>
      </c>
    </row>
    <row r="257" spans="1:17">
      <c r="A257" s="18" t="s">
        <v>314</v>
      </c>
      <c r="B257" s="19" t="s">
        <v>315</v>
      </c>
      <c r="C257" s="19" t="s">
        <v>318</v>
      </c>
      <c r="D257" s="20">
        <v>45498</v>
      </c>
      <c r="E257" s="21">
        <v>12</v>
      </c>
      <c r="F257" s="18">
        <v>0</v>
      </c>
      <c r="G257" s="19">
        <v>430</v>
      </c>
      <c r="H257" s="19">
        <v>70</v>
      </c>
      <c r="I257" s="37">
        <v>500</v>
      </c>
      <c r="J257" s="38">
        <v>0.01</v>
      </c>
      <c r="K257" s="39">
        <v>309.74</v>
      </c>
      <c r="L257" s="40">
        <v>32.54</v>
      </c>
      <c r="M257" s="41">
        <v>342.29</v>
      </c>
      <c r="N257" s="42"/>
      <c r="O257" s="43">
        <f t="shared" si="17"/>
        <v>0.720325581395349</v>
      </c>
      <c r="P257" s="43">
        <f t="shared" si="18"/>
        <v>0.464857142857143</v>
      </c>
      <c r="Q257" s="51">
        <f t="shared" si="19"/>
        <v>0.68458</v>
      </c>
    </row>
    <row r="258" spans="1:17">
      <c r="A258" s="24" t="s">
        <v>314</v>
      </c>
      <c r="B258" s="25" t="s">
        <v>319</v>
      </c>
      <c r="C258" s="26"/>
      <c r="D258" s="26"/>
      <c r="E258" s="27">
        <v>12</v>
      </c>
      <c r="F258" s="28">
        <v>0</v>
      </c>
      <c r="G258" s="26">
        <v>930</v>
      </c>
      <c r="H258" s="26">
        <v>70</v>
      </c>
      <c r="I258" s="27">
        <v>1000</v>
      </c>
      <c r="J258" s="44">
        <v>0.01</v>
      </c>
      <c r="K258" s="45">
        <v>736.85</v>
      </c>
      <c r="L258" s="46">
        <v>32.55</v>
      </c>
      <c r="M258" s="47">
        <v>769.41</v>
      </c>
      <c r="N258" s="48"/>
      <c r="O258" s="49"/>
      <c r="P258" s="49">
        <f t="shared" si="18"/>
        <v>0.465</v>
      </c>
      <c r="Q258" s="52">
        <f t="shared" si="19"/>
        <v>0.76941</v>
      </c>
    </row>
    <row r="259" spans="1:17">
      <c r="A259" s="18" t="s">
        <v>314</v>
      </c>
      <c r="B259" s="19" t="s">
        <v>320</v>
      </c>
      <c r="C259" s="19" t="s">
        <v>321</v>
      </c>
      <c r="D259" s="20">
        <v>44903</v>
      </c>
      <c r="E259" s="21">
        <v>12</v>
      </c>
      <c r="F259" s="18">
        <v>80</v>
      </c>
      <c r="G259" s="19">
        <v>70</v>
      </c>
      <c r="H259" s="19">
        <v>195</v>
      </c>
      <c r="I259" s="37">
        <v>345</v>
      </c>
      <c r="J259" s="38">
        <v>49.88</v>
      </c>
      <c r="K259" s="39">
        <v>39.19</v>
      </c>
      <c r="L259" s="40">
        <v>211.44</v>
      </c>
      <c r="M259" s="41">
        <v>300.51</v>
      </c>
      <c r="N259" s="42">
        <f t="shared" si="16"/>
        <v>0.6235</v>
      </c>
      <c r="O259" s="43">
        <f t="shared" si="17"/>
        <v>0.559857142857143</v>
      </c>
      <c r="P259" s="43">
        <f t="shared" si="18"/>
        <v>1.08430769230769</v>
      </c>
      <c r="Q259" s="51">
        <f t="shared" si="19"/>
        <v>0.87104347826087</v>
      </c>
    </row>
    <row r="260" spans="1:17">
      <c r="A260" s="18" t="s">
        <v>314</v>
      </c>
      <c r="B260" s="19" t="s">
        <v>320</v>
      </c>
      <c r="C260" s="19" t="s">
        <v>322</v>
      </c>
      <c r="D260" s="20">
        <v>41386</v>
      </c>
      <c r="E260" s="21">
        <v>12</v>
      </c>
      <c r="F260" s="18">
        <v>50</v>
      </c>
      <c r="G260" s="19">
        <v>100</v>
      </c>
      <c r="H260" s="19">
        <v>45</v>
      </c>
      <c r="I260" s="37">
        <v>195</v>
      </c>
      <c r="J260" s="38">
        <v>30.11</v>
      </c>
      <c r="K260" s="39">
        <v>27.06</v>
      </c>
      <c r="L260" s="40">
        <v>23.72</v>
      </c>
      <c r="M260" s="41">
        <v>80.89</v>
      </c>
      <c r="N260" s="42">
        <f t="shared" si="16"/>
        <v>0.6022</v>
      </c>
      <c r="O260" s="43">
        <f t="shared" si="17"/>
        <v>0.2706</v>
      </c>
      <c r="P260" s="43">
        <f t="shared" si="18"/>
        <v>0.527111111111111</v>
      </c>
      <c r="Q260" s="51">
        <f t="shared" si="19"/>
        <v>0.414820512820513</v>
      </c>
    </row>
    <row r="261" spans="1:17">
      <c r="A261" s="24" t="s">
        <v>314</v>
      </c>
      <c r="B261" s="25" t="s">
        <v>323</v>
      </c>
      <c r="C261" s="26"/>
      <c r="D261" s="26"/>
      <c r="E261" s="27">
        <v>12</v>
      </c>
      <c r="F261" s="28">
        <v>130</v>
      </c>
      <c r="G261" s="26">
        <v>170</v>
      </c>
      <c r="H261" s="26">
        <v>240</v>
      </c>
      <c r="I261" s="27">
        <v>540</v>
      </c>
      <c r="J261" s="44">
        <v>80</v>
      </c>
      <c r="K261" s="45">
        <v>66.25</v>
      </c>
      <c r="L261" s="46">
        <v>235.16</v>
      </c>
      <c r="M261" s="47">
        <v>381.41</v>
      </c>
      <c r="N261" s="48">
        <f t="shared" si="16"/>
        <v>0.615384615384615</v>
      </c>
      <c r="O261" s="49">
        <f t="shared" si="17"/>
        <v>0.389705882352941</v>
      </c>
      <c r="P261" s="49">
        <f t="shared" si="18"/>
        <v>0.979833333333333</v>
      </c>
      <c r="Q261" s="52">
        <f t="shared" si="19"/>
        <v>0.706314814814815</v>
      </c>
    </row>
    <row r="262" spans="1:17">
      <c r="A262" s="18" t="s">
        <v>314</v>
      </c>
      <c r="B262" s="19" t="s">
        <v>324</v>
      </c>
      <c r="C262" s="19" t="s">
        <v>325</v>
      </c>
      <c r="D262" s="20">
        <v>39409</v>
      </c>
      <c r="E262" s="21">
        <v>12</v>
      </c>
      <c r="F262" s="18">
        <v>0</v>
      </c>
      <c r="G262" s="19">
        <v>450</v>
      </c>
      <c r="H262" s="19">
        <v>50</v>
      </c>
      <c r="I262" s="37">
        <v>500</v>
      </c>
      <c r="J262" s="38">
        <v>25.87</v>
      </c>
      <c r="K262" s="39">
        <v>741.46</v>
      </c>
      <c r="L262" s="40">
        <v>129.38</v>
      </c>
      <c r="M262" s="41">
        <v>896.71</v>
      </c>
      <c r="N262" s="42"/>
      <c r="O262" s="43">
        <f t="shared" si="17"/>
        <v>1.64768888888889</v>
      </c>
      <c r="P262" s="43">
        <f t="shared" si="18"/>
        <v>2.5876</v>
      </c>
      <c r="Q262" s="51">
        <f t="shared" si="19"/>
        <v>1.79342</v>
      </c>
    </row>
    <row r="263" spans="1:17">
      <c r="A263" s="18" t="s">
        <v>314</v>
      </c>
      <c r="B263" s="19" t="s">
        <v>324</v>
      </c>
      <c r="C263" s="19" t="s">
        <v>326</v>
      </c>
      <c r="D263" s="20">
        <v>44652</v>
      </c>
      <c r="E263" s="21">
        <v>12</v>
      </c>
      <c r="F263" s="18">
        <v>16</v>
      </c>
      <c r="G263" s="19">
        <v>120</v>
      </c>
      <c r="H263" s="19">
        <v>100</v>
      </c>
      <c r="I263" s="37">
        <v>236</v>
      </c>
      <c r="J263" s="38">
        <v>62.47</v>
      </c>
      <c r="K263" s="39">
        <v>135.08</v>
      </c>
      <c r="L263" s="40">
        <v>84.41</v>
      </c>
      <c r="M263" s="41">
        <v>281.96</v>
      </c>
      <c r="N263" s="42">
        <f t="shared" si="16"/>
        <v>3.904375</v>
      </c>
      <c r="O263" s="43">
        <f t="shared" si="17"/>
        <v>1.12566666666667</v>
      </c>
      <c r="P263" s="43">
        <f t="shared" si="18"/>
        <v>0.8441</v>
      </c>
      <c r="Q263" s="51">
        <f t="shared" si="19"/>
        <v>1.19474576271186</v>
      </c>
    </row>
    <row r="264" spans="1:17">
      <c r="A264" s="18" t="s">
        <v>314</v>
      </c>
      <c r="B264" s="19" t="s">
        <v>324</v>
      </c>
      <c r="C264" s="19" t="s">
        <v>327</v>
      </c>
      <c r="D264" s="20">
        <v>45254</v>
      </c>
      <c r="E264" s="21">
        <v>12</v>
      </c>
      <c r="F264" s="18">
        <v>216</v>
      </c>
      <c r="G264" s="19">
        <v>8</v>
      </c>
      <c r="H264" s="19">
        <v>15</v>
      </c>
      <c r="I264" s="37">
        <v>239</v>
      </c>
      <c r="J264" s="38">
        <v>249.72</v>
      </c>
      <c r="K264" s="39">
        <v>17.96</v>
      </c>
      <c r="L264" s="40">
        <v>20.97</v>
      </c>
      <c r="M264" s="41">
        <v>288.65</v>
      </c>
      <c r="N264" s="42">
        <f t="shared" si="16"/>
        <v>1.15611111111111</v>
      </c>
      <c r="O264" s="43">
        <f t="shared" si="17"/>
        <v>2.245</v>
      </c>
      <c r="P264" s="43">
        <f t="shared" si="18"/>
        <v>1.398</v>
      </c>
      <c r="Q264" s="51">
        <f t="shared" si="19"/>
        <v>1.20774058577406</v>
      </c>
    </row>
    <row r="265" spans="1:17">
      <c r="A265" s="24" t="s">
        <v>314</v>
      </c>
      <c r="B265" s="25" t="s">
        <v>328</v>
      </c>
      <c r="C265" s="26"/>
      <c r="D265" s="26"/>
      <c r="E265" s="27">
        <v>12</v>
      </c>
      <c r="F265" s="28">
        <v>507</v>
      </c>
      <c r="G265" s="26">
        <v>578</v>
      </c>
      <c r="H265" s="26">
        <v>190</v>
      </c>
      <c r="I265" s="27">
        <v>1275</v>
      </c>
      <c r="J265" s="44">
        <v>378.94</v>
      </c>
      <c r="K265" s="45">
        <v>894.41</v>
      </c>
      <c r="L265" s="46">
        <v>235.05</v>
      </c>
      <c r="M265" s="47">
        <v>1508.4</v>
      </c>
      <c r="N265" s="48">
        <f t="shared" si="16"/>
        <v>0.74741617357002</v>
      </c>
      <c r="O265" s="49">
        <f t="shared" si="17"/>
        <v>1.54742214532872</v>
      </c>
      <c r="P265" s="49">
        <f t="shared" si="18"/>
        <v>1.23710526315789</v>
      </c>
      <c r="Q265" s="52">
        <f t="shared" si="19"/>
        <v>1.18305882352941</v>
      </c>
    </row>
    <row r="266" spans="1:17">
      <c r="A266" s="18" t="s">
        <v>314</v>
      </c>
      <c r="B266" s="19"/>
      <c r="C266" s="19" t="s">
        <v>329</v>
      </c>
      <c r="D266" s="20">
        <v>44712</v>
      </c>
      <c r="E266" s="21">
        <v>12</v>
      </c>
      <c r="F266" s="18">
        <v>710</v>
      </c>
      <c r="G266" s="19">
        <v>0</v>
      </c>
      <c r="H266" s="19">
        <v>40</v>
      </c>
      <c r="I266" s="37">
        <v>750</v>
      </c>
      <c r="J266" s="38">
        <v>1113.23</v>
      </c>
      <c r="K266" s="39">
        <v>1.59</v>
      </c>
      <c r="L266" s="40">
        <v>61.35</v>
      </c>
      <c r="M266" s="41">
        <v>1176.17</v>
      </c>
      <c r="N266" s="42">
        <f t="shared" si="16"/>
        <v>1.56792957746479</v>
      </c>
      <c r="O266" s="43"/>
      <c r="P266" s="43">
        <f t="shared" si="18"/>
        <v>1.53375</v>
      </c>
      <c r="Q266" s="51">
        <f t="shared" si="19"/>
        <v>1.56822666666667</v>
      </c>
    </row>
    <row r="267" spans="1:17">
      <c r="A267" s="18" t="s">
        <v>314</v>
      </c>
      <c r="B267" s="19"/>
      <c r="C267" s="19" t="s">
        <v>330</v>
      </c>
      <c r="D267" s="20">
        <v>45062</v>
      </c>
      <c r="E267" s="21">
        <v>12</v>
      </c>
      <c r="F267" s="18">
        <v>148</v>
      </c>
      <c r="G267" s="19">
        <v>12</v>
      </c>
      <c r="H267" s="19">
        <v>20</v>
      </c>
      <c r="I267" s="37">
        <v>180</v>
      </c>
      <c r="J267" s="38">
        <v>131.34</v>
      </c>
      <c r="K267" s="39">
        <v>8.22</v>
      </c>
      <c r="L267" s="40">
        <v>10.38</v>
      </c>
      <c r="M267" s="41">
        <v>149.94</v>
      </c>
      <c r="N267" s="42">
        <f t="shared" si="16"/>
        <v>0.887432432432432</v>
      </c>
      <c r="O267" s="43">
        <f t="shared" si="17"/>
        <v>0.685</v>
      </c>
      <c r="P267" s="43">
        <f t="shared" si="18"/>
        <v>0.519</v>
      </c>
      <c r="Q267" s="51">
        <f t="shared" si="19"/>
        <v>0.833</v>
      </c>
    </row>
    <row r="268" spans="1:17">
      <c r="A268" s="18" t="s">
        <v>314</v>
      </c>
      <c r="B268" s="19"/>
      <c r="C268" s="19" t="s">
        <v>331</v>
      </c>
      <c r="D268" s="20">
        <v>45068</v>
      </c>
      <c r="E268" s="21">
        <v>12</v>
      </c>
      <c r="F268" s="18">
        <v>1335</v>
      </c>
      <c r="G268" s="19">
        <v>0</v>
      </c>
      <c r="H268" s="19">
        <v>80</v>
      </c>
      <c r="I268" s="37">
        <v>1415</v>
      </c>
      <c r="J268" s="38">
        <v>1575.59</v>
      </c>
      <c r="K268" s="39">
        <v>0.04</v>
      </c>
      <c r="L268" s="40">
        <v>104.9</v>
      </c>
      <c r="M268" s="41">
        <v>1680.53</v>
      </c>
      <c r="N268" s="42">
        <f t="shared" ref="N268:N293" si="20">J268/$E268*12/F268</f>
        <v>1.18021722846442</v>
      </c>
      <c r="O268" s="43"/>
      <c r="P268" s="43">
        <f t="shared" ref="P268:P293" si="21">L268/$E268*12/H268</f>
        <v>1.31125</v>
      </c>
      <c r="Q268" s="51">
        <f t="shared" ref="Q268:Q293" si="22">M268/$E268*12/I268</f>
        <v>1.18765371024735</v>
      </c>
    </row>
    <row r="269" spans="1:17">
      <c r="A269" s="18" t="s">
        <v>314</v>
      </c>
      <c r="B269" s="19"/>
      <c r="C269" s="19" t="s">
        <v>332</v>
      </c>
      <c r="D269" s="20">
        <v>43669</v>
      </c>
      <c r="E269" s="21">
        <v>12</v>
      </c>
      <c r="F269" s="18">
        <v>1020</v>
      </c>
      <c r="G269" s="19">
        <v>0</v>
      </c>
      <c r="H269" s="19">
        <v>70</v>
      </c>
      <c r="I269" s="37">
        <v>1090</v>
      </c>
      <c r="J269" s="38">
        <v>683.57</v>
      </c>
      <c r="K269" s="39">
        <v>0.28</v>
      </c>
      <c r="L269" s="40">
        <v>48.82</v>
      </c>
      <c r="M269" s="41">
        <v>732.67</v>
      </c>
      <c r="N269" s="42">
        <f t="shared" si="20"/>
        <v>0.670166666666667</v>
      </c>
      <c r="O269" s="43"/>
      <c r="P269" s="43">
        <f t="shared" si="21"/>
        <v>0.697428571428571</v>
      </c>
      <c r="Q269" s="51">
        <f t="shared" si="22"/>
        <v>0.672174311926606</v>
      </c>
    </row>
    <row r="270" spans="1:17">
      <c r="A270" s="18" t="s">
        <v>314</v>
      </c>
      <c r="B270" s="19"/>
      <c r="C270" s="19" t="s">
        <v>333</v>
      </c>
      <c r="D270" s="20">
        <v>45841</v>
      </c>
      <c r="E270" s="21">
        <v>5.98356164383562</v>
      </c>
      <c r="F270" s="22"/>
      <c r="G270" s="23"/>
      <c r="H270" s="23"/>
      <c r="I270" s="37">
        <v>530</v>
      </c>
      <c r="J270" s="38">
        <v>283.4</v>
      </c>
      <c r="K270" s="39">
        <v>0</v>
      </c>
      <c r="L270" s="40">
        <v>13.24</v>
      </c>
      <c r="M270" s="41">
        <v>296.64</v>
      </c>
      <c r="N270" s="42"/>
      <c r="O270" s="43"/>
      <c r="P270" s="43"/>
      <c r="Q270" s="51">
        <f t="shared" si="22"/>
        <v>1.12247149077338</v>
      </c>
    </row>
    <row r="271" spans="1:17">
      <c r="A271" s="24" t="s">
        <v>314</v>
      </c>
      <c r="B271" s="26" t="s">
        <v>334</v>
      </c>
      <c r="C271" s="26"/>
      <c r="D271" s="26"/>
      <c r="E271" s="27">
        <v>12</v>
      </c>
      <c r="F271" s="28">
        <v>4340</v>
      </c>
      <c r="G271" s="26">
        <v>1690</v>
      </c>
      <c r="H271" s="26">
        <v>750</v>
      </c>
      <c r="I271" s="27">
        <v>6780</v>
      </c>
      <c r="J271" s="44">
        <v>4332.65</v>
      </c>
      <c r="K271" s="45">
        <v>1711.97</v>
      </c>
      <c r="L271" s="46">
        <v>802.34</v>
      </c>
      <c r="M271" s="47">
        <v>6846.96</v>
      </c>
      <c r="N271" s="48">
        <f t="shared" si="20"/>
        <v>0.998306451612903</v>
      </c>
      <c r="O271" s="49">
        <f t="shared" ref="O268:O293" si="23">K271/$E271*12/G271</f>
        <v>1.013</v>
      </c>
      <c r="P271" s="49">
        <f t="shared" si="21"/>
        <v>1.06978666666667</v>
      </c>
      <c r="Q271" s="52">
        <f t="shared" si="22"/>
        <v>1.00987610619469</v>
      </c>
    </row>
    <row r="272" spans="1:17">
      <c r="A272" s="18" t="s">
        <v>335</v>
      </c>
      <c r="B272" s="19" t="s">
        <v>336</v>
      </c>
      <c r="C272" s="19" t="s">
        <v>337</v>
      </c>
      <c r="D272" s="20">
        <v>45748</v>
      </c>
      <c r="E272" s="21">
        <v>9.04109589041096</v>
      </c>
      <c r="F272" s="22"/>
      <c r="G272" s="23"/>
      <c r="H272" s="23"/>
      <c r="I272" s="37">
        <v>300</v>
      </c>
      <c r="J272" s="38">
        <v>68.63</v>
      </c>
      <c r="K272" s="39">
        <v>0</v>
      </c>
      <c r="L272" s="40">
        <v>2.4</v>
      </c>
      <c r="M272" s="41">
        <v>71.03</v>
      </c>
      <c r="N272" s="42"/>
      <c r="O272" s="43"/>
      <c r="P272" s="43"/>
      <c r="Q272" s="51">
        <f t="shared" si="22"/>
        <v>0.314253939393939</v>
      </c>
    </row>
    <row r="273" spans="1:17">
      <c r="A273" s="24" t="s">
        <v>335</v>
      </c>
      <c r="B273" s="25" t="s">
        <v>338</v>
      </c>
      <c r="C273" s="26"/>
      <c r="D273" s="26"/>
      <c r="E273" s="27">
        <v>9.04</v>
      </c>
      <c r="F273" s="28"/>
      <c r="G273" s="26"/>
      <c r="H273" s="26"/>
      <c r="I273" s="27">
        <v>800</v>
      </c>
      <c r="J273" s="44">
        <v>81.49</v>
      </c>
      <c r="K273" s="45">
        <v>0</v>
      </c>
      <c r="L273" s="46">
        <v>3.4</v>
      </c>
      <c r="M273" s="47">
        <v>84.89</v>
      </c>
      <c r="N273" s="48"/>
      <c r="O273" s="49"/>
      <c r="P273" s="49"/>
      <c r="Q273" s="52">
        <f t="shared" si="22"/>
        <v>0.140857300884956</v>
      </c>
    </row>
    <row r="274" spans="1:17">
      <c r="A274" s="18" t="s">
        <v>335</v>
      </c>
      <c r="B274" s="19" t="s">
        <v>339</v>
      </c>
      <c r="C274" s="19" t="s">
        <v>340</v>
      </c>
      <c r="D274" s="20">
        <v>44334</v>
      </c>
      <c r="E274" s="21">
        <v>12</v>
      </c>
      <c r="F274" s="18">
        <v>75</v>
      </c>
      <c r="G274" s="19">
        <v>116</v>
      </c>
      <c r="H274" s="19">
        <v>10</v>
      </c>
      <c r="I274" s="37">
        <v>201</v>
      </c>
      <c r="J274" s="38">
        <v>52.99</v>
      </c>
      <c r="K274" s="39">
        <v>91.91</v>
      </c>
      <c r="L274" s="40">
        <v>32.86</v>
      </c>
      <c r="M274" s="41">
        <v>177.76</v>
      </c>
      <c r="N274" s="42">
        <f t="shared" si="20"/>
        <v>0.706533333333333</v>
      </c>
      <c r="O274" s="43">
        <f t="shared" si="23"/>
        <v>0.792327586206896</v>
      </c>
      <c r="P274" s="43">
        <f t="shared" si="21"/>
        <v>3.286</v>
      </c>
      <c r="Q274" s="51">
        <f t="shared" si="22"/>
        <v>0.884378109452736</v>
      </c>
    </row>
    <row r="275" spans="1:17">
      <c r="A275" s="18" t="s">
        <v>335</v>
      </c>
      <c r="B275" s="19" t="s">
        <v>339</v>
      </c>
      <c r="C275" s="19" t="s">
        <v>341</v>
      </c>
      <c r="D275" s="20">
        <v>45061</v>
      </c>
      <c r="E275" s="21">
        <v>12</v>
      </c>
      <c r="F275" s="18">
        <v>200</v>
      </c>
      <c r="G275" s="19">
        <v>10</v>
      </c>
      <c r="H275" s="19">
        <v>51</v>
      </c>
      <c r="I275" s="37">
        <v>261</v>
      </c>
      <c r="J275" s="38">
        <v>307.76</v>
      </c>
      <c r="K275" s="39">
        <v>8.98</v>
      </c>
      <c r="L275" s="40">
        <v>45.46</v>
      </c>
      <c r="M275" s="41">
        <v>362.2</v>
      </c>
      <c r="N275" s="42">
        <f t="shared" si="20"/>
        <v>1.5388</v>
      </c>
      <c r="O275" s="43">
        <f t="shared" si="23"/>
        <v>0.898</v>
      </c>
      <c r="P275" s="43">
        <f t="shared" si="21"/>
        <v>0.891372549019608</v>
      </c>
      <c r="Q275" s="51">
        <f t="shared" si="22"/>
        <v>1.38773946360153</v>
      </c>
    </row>
    <row r="276" spans="1:17">
      <c r="A276" s="18" t="s">
        <v>335</v>
      </c>
      <c r="B276" s="19" t="s">
        <v>339</v>
      </c>
      <c r="C276" s="19" t="s">
        <v>342</v>
      </c>
      <c r="D276" s="20">
        <v>45092</v>
      </c>
      <c r="E276" s="21">
        <v>12</v>
      </c>
      <c r="F276" s="18">
        <v>180</v>
      </c>
      <c r="G276" s="19">
        <v>10</v>
      </c>
      <c r="H276" s="19">
        <v>20</v>
      </c>
      <c r="I276" s="37">
        <v>210</v>
      </c>
      <c r="J276" s="38">
        <v>330.67</v>
      </c>
      <c r="K276" s="39">
        <v>3.3</v>
      </c>
      <c r="L276" s="40">
        <v>22.01</v>
      </c>
      <c r="M276" s="41">
        <v>355.98</v>
      </c>
      <c r="N276" s="42">
        <f t="shared" si="20"/>
        <v>1.83705555555556</v>
      </c>
      <c r="O276" s="43">
        <f t="shared" si="23"/>
        <v>0.33</v>
      </c>
      <c r="P276" s="43">
        <f t="shared" si="21"/>
        <v>1.1005</v>
      </c>
      <c r="Q276" s="51">
        <f t="shared" si="22"/>
        <v>1.69514285714286</v>
      </c>
    </row>
    <row r="277" spans="1:17">
      <c r="A277" s="18" t="s">
        <v>335</v>
      </c>
      <c r="B277" s="19" t="s">
        <v>339</v>
      </c>
      <c r="C277" s="19" t="s">
        <v>343</v>
      </c>
      <c r="D277" s="20">
        <v>45547</v>
      </c>
      <c r="E277" s="21">
        <v>12</v>
      </c>
      <c r="F277" s="18">
        <v>340</v>
      </c>
      <c r="G277" s="19">
        <v>10</v>
      </c>
      <c r="H277" s="19">
        <v>52</v>
      </c>
      <c r="I277" s="37">
        <v>402</v>
      </c>
      <c r="J277" s="38">
        <v>634.22</v>
      </c>
      <c r="K277" s="39">
        <v>0.07</v>
      </c>
      <c r="L277" s="40">
        <v>67.36</v>
      </c>
      <c r="M277" s="41">
        <v>701.65</v>
      </c>
      <c r="N277" s="42">
        <f t="shared" si="20"/>
        <v>1.86535294117647</v>
      </c>
      <c r="O277" s="43">
        <f t="shared" si="23"/>
        <v>0.007</v>
      </c>
      <c r="P277" s="43">
        <f t="shared" si="21"/>
        <v>1.29538461538462</v>
      </c>
      <c r="Q277" s="51">
        <f t="shared" si="22"/>
        <v>1.74539800995025</v>
      </c>
    </row>
    <row r="278" spans="1:17">
      <c r="A278" s="18" t="s">
        <v>335</v>
      </c>
      <c r="B278" s="19" t="s">
        <v>339</v>
      </c>
      <c r="C278" s="19" t="s">
        <v>344</v>
      </c>
      <c r="D278" s="20">
        <v>45665</v>
      </c>
      <c r="E278" s="21">
        <v>11.7698630136986</v>
      </c>
      <c r="F278" s="18">
        <v>200</v>
      </c>
      <c r="G278" s="19">
        <v>10</v>
      </c>
      <c r="H278" s="19">
        <v>10</v>
      </c>
      <c r="I278" s="37">
        <v>220</v>
      </c>
      <c r="J278" s="38">
        <v>241.89</v>
      </c>
      <c r="K278" s="39">
        <v>0.07</v>
      </c>
      <c r="L278" s="40">
        <v>14.16</v>
      </c>
      <c r="M278" s="41">
        <v>256.12</v>
      </c>
      <c r="N278" s="42">
        <f t="shared" si="20"/>
        <v>1.23309846368715</v>
      </c>
      <c r="O278" s="43">
        <f t="shared" si="23"/>
        <v>0.00713687150837989</v>
      </c>
      <c r="P278" s="43">
        <f t="shared" si="21"/>
        <v>1.44368715083799</v>
      </c>
      <c r="Q278" s="51">
        <f t="shared" si="22"/>
        <v>1.18694514982224</v>
      </c>
    </row>
    <row r="279" spans="1:17">
      <c r="A279" s="18" t="s">
        <v>335</v>
      </c>
      <c r="B279" s="19" t="s">
        <v>339</v>
      </c>
      <c r="C279" s="19" t="s">
        <v>345</v>
      </c>
      <c r="D279" s="20">
        <v>45798</v>
      </c>
      <c r="E279" s="21">
        <v>7.3972602739726</v>
      </c>
      <c r="F279" s="22"/>
      <c r="G279" s="23"/>
      <c r="H279" s="23"/>
      <c r="I279" s="37">
        <v>200</v>
      </c>
      <c r="J279" s="38">
        <v>56.35</v>
      </c>
      <c r="K279" s="39">
        <v>0.19</v>
      </c>
      <c r="L279" s="40">
        <v>17.3</v>
      </c>
      <c r="M279" s="41">
        <v>73.84</v>
      </c>
      <c r="N279" s="42"/>
      <c r="O279" s="43"/>
      <c r="P279" s="43"/>
      <c r="Q279" s="51">
        <f t="shared" si="22"/>
        <v>0.598924444444444</v>
      </c>
    </row>
    <row r="280" spans="1:17">
      <c r="A280" s="24" t="s">
        <v>335</v>
      </c>
      <c r="B280" s="25" t="s">
        <v>346</v>
      </c>
      <c r="C280" s="26"/>
      <c r="D280" s="26"/>
      <c r="E280" s="27">
        <v>12</v>
      </c>
      <c r="F280" s="28">
        <v>1330</v>
      </c>
      <c r="G280" s="26">
        <v>176</v>
      </c>
      <c r="H280" s="26">
        <v>194</v>
      </c>
      <c r="I280" s="27">
        <v>1700</v>
      </c>
      <c r="J280" s="44">
        <v>1660.77</v>
      </c>
      <c r="K280" s="45">
        <v>104.99</v>
      </c>
      <c r="L280" s="46">
        <v>200.51</v>
      </c>
      <c r="M280" s="47">
        <v>1966.27</v>
      </c>
      <c r="N280" s="48">
        <f t="shared" si="20"/>
        <v>1.2486992481203</v>
      </c>
      <c r="O280" s="49">
        <f t="shared" si="23"/>
        <v>0.596534090909091</v>
      </c>
      <c r="P280" s="49">
        <f t="shared" si="21"/>
        <v>1.03355670103093</v>
      </c>
      <c r="Q280" s="52">
        <f t="shared" si="22"/>
        <v>1.15662941176471</v>
      </c>
    </row>
    <row r="281" spans="1:17">
      <c r="A281" s="18" t="s">
        <v>335</v>
      </c>
      <c r="B281" s="19" t="s">
        <v>347</v>
      </c>
      <c r="C281" s="19" t="s">
        <v>348</v>
      </c>
      <c r="D281" s="20">
        <v>41474</v>
      </c>
      <c r="E281" s="21">
        <v>12</v>
      </c>
      <c r="F281" s="18">
        <v>50</v>
      </c>
      <c r="G281" s="19">
        <v>230</v>
      </c>
      <c r="H281" s="19">
        <v>116</v>
      </c>
      <c r="I281" s="37">
        <v>396</v>
      </c>
      <c r="J281" s="38">
        <v>56.56</v>
      </c>
      <c r="K281" s="39">
        <v>329.05</v>
      </c>
      <c r="L281" s="40">
        <v>157.66</v>
      </c>
      <c r="M281" s="41">
        <v>543.27</v>
      </c>
      <c r="N281" s="42">
        <f t="shared" si="20"/>
        <v>1.1312</v>
      </c>
      <c r="O281" s="43">
        <f t="shared" si="23"/>
        <v>1.43065217391304</v>
      </c>
      <c r="P281" s="43">
        <f t="shared" si="21"/>
        <v>1.35913793103448</v>
      </c>
      <c r="Q281" s="51">
        <f t="shared" si="22"/>
        <v>1.37189393939394</v>
      </c>
    </row>
    <row r="282" spans="1:17">
      <c r="A282" s="18" t="s">
        <v>335</v>
      </c>
      <c r="B282" s="19" t="s">
        <v>347</v>
      </c>
      <c r="C282" s="19" t="s">
        <v>349</v>
      </c>
      <c r="D282" s="20">
        <v>42311</v>
      </c>
      <c r="E282" s="21">
        <v>12</v>
      </c>
      <c r="F282" s="18">
        <v>700</v>
      </c>
      <c r="G282" s="19">
        <v>34</v>
      </c>
      <c r="H282" s="19">
        <v>40</v>
      </c>
      <c r="I282" s="37">
        <v>774</v>
      </c>
      <c r="J282" s="38">
        <v>785.27</v>
      </c>
      <c r="K282" s="39">
        <v>44.42</v>
      </c>
      <c r="L282" s="40">
        <v>37.5</v>
      </c>
      <c r="M282" s="41">
        <v>867.19</v>
      </c>
      <c r="N282" s="42">
        <f t="shared" si="20"/>
        <v>1.12181428571429</v>
      </c>
      <c r="O282" s="43">
        <f t="shared" si="23"/>
        <v>1.30647058823529</v>
      </c>
      <c r="P282" s="43">
        <f t="shared" si="21"/>
        <v>0.9375</v>
      </c>
      <c r="Q282" s="51">
        <f t="shared" si="22"/>
        <v>1.12040051679587</v>
      </c>
    </row>
    <row r="283" spans="1:17">
      <c r="A283" s="18" t="s">
        <v>335</v>
      </c>
      <c r="B283" s="19" t="s">
        <v>347</v>
      </c>
      <c r="C283" s="19" t="s">
        <v>350</v>
      </c>
      <c r="D283" s="20">
        <v>43889</v>
      </c>
      <c r="E283" s="21">
        <v>12</v>
      </c>
      <c r="F283" s="18">
        <v>200</v>
      </c>
      <c r="G283" s="19">
        <v>20</v>
      </c>
      <c r="H283" s="19">
        <v>40</v>
      </c>
      <c r="I283" s="37">
        <v>260</v>
      </c>
      <c r="J283" s="38">
        <v>244.77</v>
      </c>
      <c r="K283" s="39">
        <v>15.68</v>
      </c>
      <c r="L283" s="40">
        <v>26.73</v>
      </c>
      <c r="M283" s="41">
        <v>287.18</v>
      </c>
      <c r="N283" s="42">
        <f t="shared" si="20"/>
        <v>1.22385</v>
      </c>
      <c r="O283" s="43">
        <f t="shared" si="23"/>
        <v>0.784</v>
      </c>
      <c r="P283" s="43">
        <f t="shared" si="21"/>
        <v>0.66825</v>
      </c>
      <c r="Q283" s="51">
        <f t="shared" si="22"/>
        <v>1.10453846153846</v>
      </c>
    </row>
    <row r="284" spans="1:17">
      <c r="A284" s="18" t="s">
        <v>335</v>
      </c>
      <c r="B284" s="19" t="s">
        <v>347</v>
      </c>
      <c r="C284" s="19" t="s">
        <v>351</v>
      </c>
      <c r="D284" s="20">
        <v>42618</v>
      </c>
      <c r="E284" s="21">
        <v>12</v>
      </c>
      <c r="F284" s="18">
        <v>420</v>
      </c>
      <c r="G284" s="19">
        <v>20</v>
      </c>
      <c r="H284" s="19">
        <v>10</v>
      </c>
      <c r="I284" s="37">
        <v>450</v>
      </c>
      <c r="J284" s="38">
        <v>355.24</v>
      </c>
      <c r="K284" s="39">
        <v>20.82</v>
      </c>
      <c r="L284" s="40">
        <v>20.83</v>
      </c>
      <c r="M284" s="41">
        <v>396.89</v>
      </c>
      <c r="N284" s="42">
        <f t="shared" si="20"/>
        <v>0.845809523809524</v>
      </c>
      <c r="O284" s="43">
        <f t="shared" si="23"/>
        <v>1.041</v>
      </c>
      <c r="P284" s="43">
        <f t="shared" si="21"/>
        <v>2.083</v>
      </c>
      <c r="Q284" s="51">
        <f t="shared" si="22"/>
        <v>0.881977777777778</v>
      </c>
    </row>
    <row r="285" spans="1:17">
      <c r="A285" s="18" t="s">
        <v>335</v>
      </c>
      <c r="B285" s="19" t="s">
        <v>347</v>
      </c>
      <c r="C285" s="19" t="s">
        <v>352</v>
      </c>
      <c r="D285" s="20">
        <v>43495</v>
      </c>
      <c r="E285" s="21">
        <v>12</v>
      </c>
      <c r="F285" s="18">
        <v>200</v>
      </c>
      <c r="G285" s="19">
        <v>10</v>
      </c>
      <c r="H285" s="19">
        <v>10</v>
      </c>
      <c r="I285" s="37">
        <v>220</v>
      </c>
      <c r="J285" s="38">
        <v>138.21</v>
      </c>
      <c r="K285" s="39">
        <v>5.64</v>
      </c>
      <c r="L285" s="40">
        <v>10.05</v>
      </c>
      <c r="M285" s="41">
        <v>153.9</v>
      </c>
      <c r="N285" s="42">
        <f t="shared" si="20"/>
        <v>0.69105</v>
      </c>
      <c r="O285" s="43">
        <f t="shared" si="23"/>
        <v>0.564</v>
      </c>
      <c r="P285" s="43">
        <f t="shared" si="21"/>
        <v>1.005</v>
      </c>
      <c r="Q285" s="51">
        <f t="shared" si="22"/>
        <v>0.699545454545455</v>
      </c>
    </row>
    <row r="286" spans="1:17">
      <c r="A286" s="24" t="s">
        <v>335</v>
      </c>
      <c r="B286" s="25" t="s">
        <v>353</v>
      </c>
      <c r="C286" s="26"/>
      <c r="D286" s="26"/>
      <c r="E286" s="27">
        <v>12</v>
      </c>
      <c r="F286" s="28">
        <v>1570</v>
      </c>
      <c r="G286" s="26">
        <v>314</v>
      </c>
      <c r="H286" s="26">
        <v>216</v>
      </c>
      <c r="I286" s="27">
        <v>2100</v>
      </c>
      <c r="J286" s="44">
        <v>1580.05</v>
      </c>
      <c r="K286" s="45">
        <v>415.62</v>
      </c>
      <c r="L286" s="46">
        <v>252.78</v>
      </c>
      <c r="M286" s="47">
        <v>2248.45</v>
      </c>
      <c r="N286" s="48">
        <f t="shared" si="20"/>
        <v>1.00640127388535</v>
      </c>
      <c r="O286" s="49">
        <f t="shared" si="23"/>
        <v>1.32363057324841</v>
      </c>
      <c r="P286" s="49">
        <f t="shared" si="21"/>
        <v>1.17027777777778</v>
      </c>
      <c r="Q286" s="52">
        <f t="shared" si="22"/>
        <v>1.07069047619048</v>
      </c>
    </row>
    <row r="287" spans="1:17">
      <c r="A287" s="18" t="s">
        <v>335</v>
      </c>
      <c r="B287" s="19" t="s">
        <v>354</v>
      </c>
      <c r="C287" s="19" t="s">
        <v>355</v>
      </c>
      <c r="D287" s="20">
        <v>43889</v>
      </c>
      <c r="E287" s="21">
        <v>12</v>
      </c>
      <c r="F287" s="18">
        <v>178</v>
      </c>
      <c r="G287" s="19">
        <v>2</v>
      </c>
      <c r="H287" s="19">
        <v>20</v>
      </c>
      <c r="I287" s="37">
        <v>200</v>
      </c>
      <c r="J287" s="38">
        <v>110.7</v>
      </c>
      <c r="K287" s="39">
        <v>3.09</v>
      </c>
      <c r="L287" s="40">
        <v>10.82</v>
      </c>
      <c r="M287" s="41">
        <v>124.61</v>
      </c>
      <c r="N287" s="42">
        <f t="shared" si="20"/>
        <v>0.621910112359551</v>
      </c>
      <c r="O287" s="43">
        <f t="shared" si="23"/>
        <v>1.545</v>
      </c>
      <c r="P287" s="43">
        <f t="shared" si="21"/>
        <v>0.541</v>
      </c>
      <c r="Q287" s="51">
        <f t="shared" si="22"/>
        <v>0.62305</v>
      </c>
    </row>
    <row r="288" spans="1:17">
      <c r="A288" s="18" t="s">
        <v>335</v>
      </c>
      <c r="B288" s="19" t="s">
        <v>354</v>
      </c>
      <c r="C288" s="19" t="s">
        <v>356</v>
      </c>
      <c r="D288" s="20">
        <v>42024</v>
      </c>
      <c r="E288" s="21">
        <v>12</v>
      </c>
      <c r="F288" s="18">
        <v>110</v>
      </c>
      <c r="G288" s="19">
        <v>2</v>
      </c>
      <c r="H288" s="19">
        <v>12</v>
      </c>
      <c r="I288" s="37">
        <v>124</v>
      </c>
      <c r="J288" s="38">
        <v>115.36</v>
      </c>
      <c r="K288" s="39">
        <v>0</v>
      </c>
      <c r="L288" s="40">
        <v>12.12</v>
      </c>
      <c r="M288" s="41">
        <v>127.48</v>
      </c>
      <c r="N288" s="42">
        <f t="shared" si="20"/>
        <v>1.04872727272727</v>
      </c>
      <c r="O288" s="43">
        <f t="shared" si="23"/>
        <v>0</v>
      </c>
      <c r="P288" s="43">
        <f t="shared" si="21"/>
        <v>1.01</v>
      </c>
      <c r="Q288" s="51">
        <f t="shared" si="22"/>
        <v>1.02806451612903</v>
      </c>
    </row>
    <row r="289" spans="1:17">
      <c r="A289" s="18" t="s">
        <v>335</v>
      </c>
      <c r="B289" s="19" t="s">
        <v>354</v>
      </c>
      <c r="C289" s="19" t="s">
        <v>357</v>
      </c>
      <c r="D289" s="20">
        <v>43889</v>
      </c>
      <c r="E289" s="21">
        <v>12</v>
      </c>
      <c r="F289" s="18">
        <v>120</v>
      </c>
      <c r="G289" s="19">
        <v>35</v>
      </c>
      <c r="H289" s="19">
        <v>10</v>
      </c>
      <c r="I289" s="37">
        <v>165</v>
      </c>
      <c r="J289" s="38">
        <v>253.36</v>
      </c>
      <c r="K289" s="39">
        <v>11.07</v>
      </c>
      <c r="L289" s="40">
        <v>10.35</v>
      </c>
      <c r="M289" s="41">
        <v>274.78</v>
      </c>
      <c r="N289" s="42">
        <f t="shared" si="20"/>
        <v>2.11133333333333</v>
      </c>
      <c r="O289" s="43">
        <f t="shared" si="23"/>
        <v>0.316285714285714</v>
      </c>
      <c r="P289" s="43">
        <f t="shared" si="21"/>
        <v>1.035</v>
      </c>
      <c r="Q289" s="51">
        <f t="shared" si="22"/>
        <v>1.66533333333333</v>
      </c>
    </row>
    <row r="290" spans="1:17">
      <c r="A290" s="18" t="s">
        <v>335</v>
      </c>
      <c r="B290" s="19" t="s">
        <v>354</v>
      </c>
      <c r="C290" s="19" t="s">
        <v>358</v>
      </c>
      <c r="D290" s="20">
        <v>45031</v>
      </c>
      <c r="E290" s="21">
        <v>12</v>
      </c>
      <c r="F290" s="18">
        <v>192</v>
      </c>
      <c r="G290" s="19">
        <v>1</v>
      </c>
      <c r="H290" s="19">
        <v>18</v>
      </c>
      <c r="I290" s="37">
        <v>211</v>
      </c>
      <c r="J290" s="38">
        <v>115.07</v>
      </c>
      <c r="K290" s="39">
        <v>0.08</v>
      </c>
      <c r="L290" s="40">
        <v>8.61</v>
      </c>
      <c r="M290" s="41">
        <v>123.76</v>
      </c>
      <c r="N290" s="42">
        <f t="shared" si="20"/>
        <v>0.599322916666667</v>
      </c>
      <c r="O290" s="43">
        <f t="shared" si="23"/>
        <v>0.08</v>
      </c>
      <c r="P290" s="43">
        <f t="shared" si="21"/>
        <v>0.478333333333333</v>
      </c>
      <c r="Q290" s="51">
        <f t="shared" si="22"/>
        <v>0.58654028436019</v>
      </c>
    </row>
    <row r="291" spans="1:17">
      <c r="A291" s="18" t="s">
        <v>335</v>
      </c>
      <c r="B291" s="19" t="s">
        <v>354</v>
      </c>
      <c r="C291" s="19" t="s">
        <v>359</v>
      </c>
      <c r="D291" s="20">
        <v>45436</v>
      </c>
      <c r="E291" s="21">
        <v>12</v>
      </c>
      <c r="F291" s="18">
        <v>200</v>
      </c>
      <c r="G291" s="19">
        <v>10</v>
      </c>
      <c r="H291" s="19">
        <v>41</v>
      </c>
      <c r="I291" s="37">
        <v>251</v>
      </c>
      <c r="J291" s="38">
        <v>84.51</v>
      </c>
      <c r="K291" s="39">
        <v>1.02</v>
      </c>
      <c r="L291" s="40">
        <v>25.2</v>
      </c>
      <c r="M291" s="41">
        <v>110.73</v>
      </c>
      <c r="N291" s="42">
        <f t="shared" si="20"/>
        <v>0.42255</v>
      </c>
      <c r="O291" s="43">
        <f t="shared" si="23"/>
        <v>0.102</v>
      </c>
      <c r="P291" s="43">
        <f t="shared" si="21"/>
        <v>0.614634146341464</v>
      </c>
      <c r="Q291" s="51">
        <f t="shared" si="22"/>
        <v>0.441155378486056</v>
      </c>
    </row>
    <row r="292" spans="1:17">
      <c r="A292" s="24" t="s">
        <v>335</v>
      </c>
      <c r="B292" s="25" t="s">
        <v>360</v>
      </c>
      <c r="C292" s="26"/>
      <c r="D292" s="26"/>
      <c r="E292" s="27">
        <v>12</v>
      </c>
      <c r="F292" s="28">
        <v>700</v>
      </c>
      <c r="G292" s="26">
        <v>40</v>
      </c>
      <c r="H292" s="26">
        <v>60</v>
      </c>
      <c r="I292" s="27">
        <v>800</v>
      </c>
      <c r="J292" s="44">
        <v>655.91</v>
      </c>
      <c r="K292" s="45">
        <v>14.8</v>
      </c>
      <c r="L292" s="46">
        <v>66.37</v>
      </c>
      <c r="M292" s="47">
        <v>737.08</v>
      </c>
      <c r="N292" s="48">
        <f t="shared" si="20"/>
        <v>0.937014285714286</v>
      </c>
      <c r="O292" s="49">
        <f t="shared" si="23"/>
        <v>0.37</v>
      </c>
      <c r="P292" s="49">
        <f t="shared" si="21"/>
        <v>1.10616666666667</v>
      </c>
      <c r="Q292" s="52">
        <f t="shared" si="22"/>
        <v>0.92135</v>
      </c>
    </row>
    <row r="293" ht="17.25" spans="1:17">
      <c r="A293" s="53" t="s">
        <v>335</v>
      </c>
      <c r="B293" s="54" t="s">
        <v>361</v>
      </c>
      <c r="C293" s="54"/>
      <c r="D293" s="54"/>
      <c r="E293" s="55">
        <v>12</v>
      </c>
      <c r="F293" s="56">
        <v>3500</v>
      </c>
      <c r="G293" s="54">
        <v>530</v>
      </c>
      <c r="H293" s="54">
        <v>470</v>
      </c>
      <c r="I293" s="55">
        <v>4500</v>
      </c>
      <c r="J293" s="57">
        <v>3978.35</v>
      </c>
      <c r="K293" s="58">
        <v>535.41</v>
      </c>
      <c r="L293" s="59">
        <v>523.05</v>
      </c>
      <c r="M293" s="60">
        <v>5036.81</v>
      </c>
      <c r="N293" s="61">
        <f t="shared" si="20"/>
        <v>1.13667142857143</v>
      </c>
      <c r="O293" s="62">
        <f t="shared" si="23"/>
        <v>1.01020754716981</v>
      </c>
      <c r="P293" s="62">
        <f t="shared" si="21"/>
        <v>1.11287234042553</v>
      </c>
      <c r="Q293" s="63">
        <f t="shared" si="22"/>
        <v>1.11929111111111</v>
      </c>
    </row>
  </sheetData>
  <autoFilter xmlns:etc="http://www.wps.cn/officeDocument/2017/etCustomData" ref="A2:Q293" etc:filterBottomFollowUsedRange="0">
    <extLst/>
  </autoFilter>
  <mergeCells count="8">
    <mergeCell ref="F1:I1"/>
    <mergeCell ref="J1:M1"/>
    <mergeCell ref="N1:Q1"/>
    <mergeCell ref="A1:A2"/>
    <mergeCell ref="B1:B2"/>
    <mergeCell ref="C1:C2"/>
    <mergeCell ref="D1:D2"/>
    <mergeCell ref="E1:E2"/>
  </mergeCells>
  <conditionalFormatting sqref="N$1:Q$1048576">
    <cfRule type="cellIs" dxfId="0" priority="1" operator="greaterThan">
      <formula>1</formula>
    </cfRule>
  </conditionalFormatting>
  <conditionalFormatting sqref="A3:Q293">
    <cfRule type="expression" dxfId="1" priority="5">
      <formula>ISNUMBER(SEARCH("汇总",$B3))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25年分产品达成情况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李璐</dc:creator>
  <cp:lastModifiedBy>李璐</cp:lastModifiedBy>
  <dcterms:created xsi:type="dcterms:W3CDTF">2026-01-05T03:57:12Z</dcterms:created>
  <dcterms:modified xsi:type="dcterms:W3CDTF">2026-01-05T05:46:22Z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2A98BAF78AC24CD79F932B4C5C9EFCD0_11</vt:lpwstr>
  </property>
  <property fmtid="{D5CDD505-2E9C-101B-9397-08002B2CF9AE}" pid="3" name="KSOProductBuildVer">
    <vt:lpwstr>2052-12.8.2.19830</vt:lpwstr>
  </property>
</Properties>
</file>